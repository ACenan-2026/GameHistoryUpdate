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ultiplier Base by Game" sheetId="2" state="visible" r:id="rId2"/>
  </sheets>
  <definedNames>
    <definedName name="_xlnm._FilterDatabase" localSheetId="1" hidden="1">'Multiplier Base by Game'!$A$1:$O$254</definedName>
  </definedNames>
  <calcPr calcId="124519" calcMode="auto"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55555"/>
      <sz val="10"/>
    </font>
    <font>
      <name val="Arial"/>
      <sz val="11"/>
    </font>
    <font>
      <name val="Arial"/>
      <b val="1"/>
      <sz val="11"/>
    </font>
    <font>
      <name val="Arial"/>
      <sz val="10"/>
    </font>
    <font>
      <name val="Arial"/>
      <b val="1"/>
      <color rgb="00FFFFFF"/>
      <sz val="11"/>
    </font>
  </fonts>
  <fills count="7">
    <fill>
      <patternFill/>
    </fill>
    <fill>
      <patternFill patternType="gray125"/>
    </fill>
    <fill>
      <patternFill patternType="solid">
        <fgColor rgb="001F4E78"/>
      </patternFill>
    </fill>
    <fill>
      <patternFill patternType="solid">
        <fgColor rgb="00FCE4D6"/>
      </patternFill>
    </fill>
    <fill>
      <patternFill patternType="solid">
        <fgColor rgb="00D6E4F0"/>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95" customWidth="1" min="1" max="1"/>
    <col width="10" customWidth="1" min="2" max="2"/>
  </cols>
  <sheetData>
    <row r="1">
      <c r="A1" s="1" t="inlineStr">
        <is>
          <t>AGT Scatter-Multiplier Base Analysis</t>
        </is>
      </c>
    </row>
    <row r="2">
      <c r="A2" s="2" t="inlineStr">
        <is>
          <t>How each game's multiplier symbols derive their monetary base, read from the latest rules doc per game.</t>
        </is>
      </c>
    </row>
    <row r="3">
      <c r="A3" s="3" t="inlineStr">
        <is>
          <t>253 games analysed. Source: AGT_RGS rules documents (latest revision per game).</t>
        </is>
      </c>
    </row>
    <row r="5">
      <c r="A5" s="4" t="inlineStr">
        <is>
          <t>Scatter multiplier present?</t>
        </is>
      </c>
    </row>
    <row r="6">
      <c r="A6" s="3" t="inlineStr">
        <is>
          <t>Yes</t>
        </is>
      </c>
      <c r="B6" s="3">
        <f>COUNTIF('Multiplier Base by Game'!$B$2:$B$254,"yes")</f>
        <v/>
      </c>
    </row>
    <row r="7">
      <c r="A7" s="3" t="inlineStr">
        <is>
          <t>No</t>
        </is>
      </c>
      <c r="B7" s="3">
        <f>COUNTIF('Multiplier Base by Game'!$B$2:$B$254,"no")</f>
        <v/>
      </c>
    </row>
    <row r="8">
      <c r="A8" s="3" t="inlineStr">
        <is>
          <t>Unclear</t>
        </is>
      </c>
      <c r="B8" s="3">
        <f>COUNTIF('Multiplier Base by Game'!$B$2:$B$254,"unclear")</f>
        <v/>
      </c>
    </row>
    <row r="10">
      <c r="A10" s="4" t="inlineStr">
        <is>
          <t>Engine strategy (normalized)</t>
        </is>
      </c>
    </row>
    <row r="11">
      <c r="A11" s="3" t="inlineStr">
        <is>
          <t>TotalBet  (base = total bet)</t>
        </is>
      </c>
      <c r="B11" s="3">
        <f>COUNTIF('Multiplier Base by Game'!$E$2:$E$254,"TotalBet")</f>
        <v/>
      </c>
    </row>
    <row r="12">
      <c r="A12" s="3" t="inlineStr">
        <is>
          <t>LineBetFromStaticMultiplier  (base = total_bet x factor/static)</t>
        </is>
      </c>
      <c r="B12" s="3">
        <f>COUNTIF('Multiplier Base by Game'!$E$2:$E$254,"LineBetFromStaticMultiplier")</f>
        <v/>
      </c>
    </row>
    <row r="13">
      <c r="A13" s="3" t="inlineStr">
        <is>
          <t>VERIFY - ambiguous, needs a recorded-spin check</t>
        </is>
      </c>
      <c r="B13" s="3">
        <f>COUNTIF('Multiplier Base by Game'!$E$2:$E$254,"VERIFY (ambiguous)")</f>
        <v/>
      </c>
    </row>
    <row r="14">
      <c r="A14" s="3" t="inlineStr">
        <is>
          <t>(none - no scatter multiplier)</t>
        </is>
      </c>
      <c r="B14" s="3">
        <f>COUNTIF('Multiplier Base by Game'!$E$2:$E$254,"")</f>
        <v/>
      </c>
    </row>
    <row r="16">
      <c r="A16" s="4" t="inlineStr">
        <is>
          <t>Paylines selectable? (col H)</t>
        </is>
      </c>
    </row>
    <row r="17">
      <c r="A17" s="3" t="inlineStr">
        <is>
          <t>Yes - multiple line-set options</t>
        </is>
      </c>
      <c r="B17" s="3">
        <f>COUNTIF('Multiplier Base by Game'!$H$2:$H$254,"Yes")</f>
        <v/>
      </c>
    </row>
    <row r="18">
      <c r="A18" s="3" t="inlineStr">
        <is>
          <t>No - single fixed lineset</t>
        </is>
      </c>
      <c r="B18" s="3">
        <f>COUNTIF('Multiplier Base by Game'!$H$2:$H$254,"No")</f>
        <v/>
      </c>
    </row>
    <row r="19">
      <c r="A19" s="3" t="inlineStr">
        <is>
          <t>Unknown - config not in doc (flow/ways/TechSpec)</t>
        </is>
      </c>
      <c r="B19" s="3">
        <f>COUNTIF('Multiplier Base by Game'!$H$2:$H$254,"Unknown")</f>
        <v/>
      </c>
    </row>
    <row r="22">
      <c r="A22" s="4" t="inlineStr">
        <is>
          <t>Key findings</t>
        </is>
      </c>
    </row>
    <row r="23">
      <c r="A23" s="5" t="inlineStr">
        <is>
          <t>The number of paylines is NEVER required to derive a multiplier base:</t>
        </is>
      </c>
    </row>
    <row r="24">
      <c r="A24" s="5" t="inlineStr">
        <is>
          <t xml:space="preserve">   - Games with selectable paylines (Action Cash, Diamond Avalanche, Dream Dragons) all have NO scatter multiplier.</t>
        </is>
      </c>
    </row>
    <row r="25">
      <c r="A25" s="5" t="inlineStr">
        <is>
          <t xml:space="preserve">   - Every per-line-derived game has a FIXED single lineset and/or a fixed static bet multiplier (75 or 30).</t>
        </is>
      </c>
    </row>
    <row r="26">
      <c r="A26" s="5" t="inlineStr">
        <is>
          <t xml:space="preserve">   So total bet + a per-game constant always suffices; the per-spin line count is never needed.</t>
        </is>
      </c>
    </row>
    <row r="27">
      <c r="A27" s="5" t="inlineStr">
        <is>
          <t>'bet_per_line' and 'static_multiplier' (doc wording) are the same mechanism -&gt; LineBetFromStaticMultiplier;</t>
        </is>
      </c>
    </row>
    <row r="28">
      <c r="A28" s="5" t="inlineStr">
        <is>
          <t xml:space="preserve">   base = prize_factor x bet_per_line = total_bet x factor/static. The ratio varies (50/75, 20/30, 10/20, 1/10).</t>
        </is>
      </c>
    </row>
    <row r="29">
      <c r="A29" s="5" t="inlineStr">
        <is>
          <t>Free games reuse the triggering paid game's total bet (stated in most rules) - consistent with our model.</t>
        </is>
      </c>
    </row>
    <row r="30">
      <c r="A30" s="5" t="inlineStr">
        <is>
          <t>3 games ambiguous (KaijuCash, UltimateLoot_ULC, VegasFiestaGrand): rules say 'x the bet' / 'x bet multiplier'</t>
        </is>
      </c>
    </row>
    <row r="31">
      <c r="A31" s="5" t="inlineStr">
        <is>
          <t xml:space="preserve">   without resolving total-bet vs bet-per-line. Confirm against a recorded spin.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54"/>
  <sheetViews>
    <sheetView workbookViewId="0">
      <pane ySplit="1" topLeftCell="A2" activePane="bottomLeft" state="frozen"/>
      <selection pane="bottomLeft" activeCell="A1" sqref="A1"/>
    </sheetView>
  </sheetViews>
  <sheetFormatPr baseColWidth="8" defaultRowHeight="15"/>
  <cols>
    <col width="26" customWidth="1" min="1" max="1"/>
    <col width="11" customWidth="1" min="2" max="2"/>
    <col width="26" customWidth="1" min="3" max="3"/>
    <col width="18" customWidth="1" min="4" max="4"/>
    <col width="24" customWidth="1" min="5" max="5"/>
    <col width="32" customWidth="1" min="6" max="6"/>
    <col width="20" customWidth="1" min="7" max="7"/>
    <col width="12" customWidth="1" min="8" max="8"/>
    <col width="13" customWidth="1" min="9" max="9"/>
    <col width="50" customWidth="1" min="10" max="10"/>
    <col width="30" customWidth="1" min="11" max="11"/>
    <col width="28" customWidth="1" min="12" max="12"/>
    <col width="11" customWidth="1" min="13" max="13"/>
    <col width="28" customWidth="1" min="14" max="14"/>
    <col width="46" customWidth="1" min="15" max="15"/>
  </cols>
  <sheetData>
    <row r="1" ht="30" customHeight="1">
      <c r="A1" s="6" t="inlineStr">
        <is>
          <t>Game</t>
        </is>
      </c>
      <c r="B1" s="6" t="inlineStr">
        <is>
          <t>Scatter multiplier?</t>
        </is>
      </c>
      <c r="C1" s="6" t="inlineStr">
        <is>
          <t>Scatter multiplier symbols</t>
        </is>
      </c>
      <c r="D1" s="6" t="inlineStr">
        <is>
          <t>Scatter base (doc wording)</t>
        </is>
      </c>
      <c r="E1" s="6" t="inlineStr">
        <is>
          <t>Engine strategy (normalized)</t>
        </is>
      </c>
      <c r="F1" s="6" t="inlineStr">
        <is>
          <t>Base detail / formula</t>
        </is>
      </c>
      <c r="G1" s="6" t="inlineStr">
        <is>
          <t>numLines / static multiplier</t>
        </is>
      </c>
      <c r="H1" s="6" t="inlineStr">
        <is>
          <t>Lines selectable?</t>
        </is>
      </c>
      <c r="I1" s="6" t="inlineStr">
        <is>
          <t>Line count / set</t>
        </is>
      </c>
      <c r="J1" s="6" t="inlineStr">
        <is>
          <t>Key rule quote</t>
        </is>
      </c>
      <c r="K1" s="6" t="inlineStr">
        <is>
          <t>Other multipliers</t>
        </is>
      </c>
      <c r="L1" s="6" t="inlineStr">
        <is>
          <t>Other multiplier base</t>
        </is>
      </c>
      <c r="M1" s="6" t="inlineStr">
        <is>
          <t>Confidence</t>
        </is>
      </c>
      <c r="N1" s="6" t="inlineStr">
        <is>
          <t>Source doc used</t>
        </is>
      </c>
      <c r="O1" s="6" t="inlineStr">
        <is>
          <t>Notes</t>
        </is>
      </c>
    </row>
    <row r="2">
      <c r="A2" s="7" t="inlineStr">
        <is>
          <t>Action Cash</t>
        </is>
      </c>
      <c r="B2" s="7" t="inlineStr">
        <is>
          <t>no</t>
        </is>
      </c>
      <c r="C2" s="7" t="inlineStr"/>
      <c r="D2" s="7" t="inlineStr">
        <is>
          <t>none</t>
        </is>
      </c>
      <c r="E2" s="7" t="inlineStr"/>
      <c r="F2" s="8" t="inlineStr"/>
      <c r="G2" s="7" t="inlineStr">
        <is>
          <t>numLines up to 100 (variable 1-100)</t>
        </is>
      </c>
      <c r="H2" s="9" t="inlineStr">
        <is>
          <t>Yes</t>
        </is>
      </c>
      <c r="I2" s="7" t="inlineStr">
        <is>
          <t>40/50/100</t>
        </is>
      </c>
      <c r="J2" s="8" t="inlineStr">
        <is>
          <t>'Diamond' is a scatter. 'Diamond' appears during paid games only. Scatters pay in any position. 10 free games are triggered by any 3 or more scattered 'Diamond'.</t>
        </is>
      </c>
      <c r="K2" s="8" t="inlineStr">
        <is>
          <t>none (Respin feature only; 'Action Cash' and 'Dollar' act as wild/substitutes, not value multipliers)</t>
        </is>
      </c>
      <c r="L2" s="8" t="inlineStr"/>
      <c r="M2" s="7" t="inlineStr">
        <is>
          <t>high</t>
        </is>
      </c>
      <c r="N2" s="7" t="inlineStr">
        <is>
          <t>Action Cash_INT_A560_Bpf1.doc</t>
        </is>
      </c>
      <c r="O2" s="8" t="inlineStr">
        <is>
          <t>Scatter 'Diamond' only triggers free games and pays via paytable. No bet-multiplied scatter prize.</t>
        </is>
      </c>
    </row>
    <row r="3">
      <c r="A3" s="7" t="inlineStr">
        <is>
          <t>Action Dragons</t>
        </is>
      </c>
      <c r="B3" s="7" t="inlineStr">
        <is>
          <t>no</t>
        </is>
      </c>
      <c r="C3" s="7" t="inlineStr"/>
      <c r="D3" s="7" t="inlineStr">
        <is>
          <t>none</t>
        </is>
      </c>
      <c r="E3" s="7" t="inlineStr"/>
      <c r="F3" s="8" t="inlineStr"/>
      <c r="G3" s="7" t="inlineStr">
        <is>
          <t>numLines=30</t>
        </is>
      </c>
      <c r="H3" s="7" t="inlineStr">
        <is>
          <t>No</t>
        </is>
      </c>
      <c r="I3" s="7" t="inlineStr">
        <is>
          <t>30</t>
        </is>
      </c>
      <c r="J3" s="8" t="inlineStr">
        <is>
          <t>'Action Dragons' is a scatter. Scatters pay in any position. 10 free games are triggered by any 3 or more scattered 'Action Dragons'.</t>
        </is>
      </c>
      <c r="K3" s="8" t="inlineStr">
        <is>
          <t>wild x2/x3/x5 ('Dragon x2','Dragon x3','Dragon x5') in Lucky Multiplier Bonus Spin</t>
        </is>
      </c>
      <c r="L3" s="8" t="inlineStr">
        <is>
          <t>multiplies the prize for the win when the wild substitutes (win-based)</t>
        </is>
      </c>
      <c r="M3" s="7" t="inlineStr">
        <is>
          <t>high</t>
        </is>
      </c>
      <c r="N3" s="7" t="inlineStr">
        <is>
          <t>Action Dragons_AGT_RGS_RevA.doc</t>
        </is>
      </c>
      <c r="O3" s="8" t="inlineStr">
        <is>
          <t>Scatter pays via paytable/triggers free games. Quote: 'When Dragon x2, Dragon x3 or Dragon x5 substitutes in a winning combination, the prize for that win is multiplied by x2, x3 or x5 respectively.'</t>
        </is>
      </c>
    </row>
    <row r="4">
      <c r="A4" s="7" t="inlineStr">
        <is>
          <t>ActionDragons CashstackGold</t>
        </is>
      </c>
      <c r="B4" s="7" t="inlineStr">
        <is>
          <t>yes</t>
        </is>
      </c>
      <c r="C4" s="7" t="inlineStr">
        <is>
          <t>Fireball, bonus (and Hold 'n' Stack stack prizes)</t>
        </is>
      </c>
      <c r="D4" s="7" t="inlineStr">
        <is>
          <t>total_bet</t>
        </is>
      </c>
      <c r="E4" s="10" t="inlineStr">
        <is>
          <t>TotalBet</t>
        </is>
      </c>
      <c r="F4" s="8" t="inlineStr">
        <is>
          <t>random prize x total bet</t>
        </is>
      </c>
      <c r="G4" s="7" t="inlineStr">
        <is>
          <t>numLines=50</t>
        </is>
      </c>
      <c r="H4" s="7" t="inlineStr">
        <is>
          <t>No</t>
        </is>
      </c>
      <c r="I4" s="7" t="inlineStr">
        <is>
          <t>50</t>
        </is>
      </c>
      <c r="J4" s="8" t="inlineStr">
        <is>
          <t>'Fireball' symbol always appears on screen with a random Prize of 1,2,3,5,8,10,20,25 or 50 multiplied by total bet as displayed during the paid games, 'holdnstack feature' and 'free games feature'. 'bonus' always appears on screen with a random prize of 3,5,8,10,20,25,50,100 or 200 multiplied by total bet or 'mini' or 'minor' as displayed.</t>
        </is>
      </c>
      <c r="K4" s="8" t="inlineStr">
        <is>
          <t>wild x2/x3/x5 (wildx2/wildx3/wildx5) in Lucky Dragon Games</t>
        </is>
      </c>
      <c r="L4" s="8" t="inlineStr">
        <is>
          <t>multiplies the prize for the win when the wild substitutes (win-based)</t>
        </is>
      </c>
      <c r="M4" s="7" t="inlineStr">
        <is>
          <t>high</t>
        </is>
      </c>
      <c r="N4" s="7" t="inlineStr">
        <is>
          <t>ActionDragonsCashstackGold_AGT_RGS_RevB.doc</t>
        </is>
      </c>
      <c r="O4" s="8" t="inlineStr">
        <is>
          <t>Fireball and bonus scatter prizes are explicitly a random prize multiplied by total bet. Hold 'n' Stack stack prizes also capped as x-of-total-bet.</t>
        </is>
      </c>
    </row>
    <row r="5">
      <c r="A5" s="7" t="inlineStr">
        <is>
          <t>ActionDragonsEnergized</t>
        </is>
      </c>
      <c r="B5" s="7" t="inlineStr">
        <is>
          <t>no</t>
        </is>
      </c>
      <c r="C5" s="7" t="inlineStr"/>
      <c r="D5" s="7" t="inlineStr">
        <is>
          <t>none</t>
        </is>
      </c>
      <c r="E5" s="7" t="inlineStr"/>
      <c r="F5" s="8" t="inlineStr"/>
      <c r="G5" s="7" t="inlineStr">
        <is>
          <t>numLines up to 100 (25/50/100)</t>
        </is>
      </c>
      <c r="H5" s="7" t="inlineStr">
        <is>
          <t>No</t>
        </is>
      </c>
      <c r="I5" s="7" t="inlineStr">
        <is>
          <t>100</t>
        </is>
      </c>
      <c r="J5" s="8" t="inlineStr">
        <is>
          <t>'Action Dragons' is a scatter. 'Action Dragons' appears during paid games only. During paid games, 3 or more 'Action Dragons' trigger 'Free Games Feature' with 10 free games.</t>
        </is>
      </c>
      <c r="K5" s="8" t="inlineStr">
        <is>
          <t>wild x2/x3/x5 ('Dragon x2','Dragon x3','Dragon x5') in Lucky Dragon Games</t>
        </is>
      </c>
      <c r="L5" s="8" t="inlineStr">
        <is>
          <t>multiplies the prize for the win when the wild substitutes (win-based)</t>
        </is>
      </c>
      <c r="M5" s="7" t="inlineStr">
        <is>
          <t>high</t>
        </is>
      </c>
      <c r="N5" s="7" t="inlineStr">
        <is>
          <t>ActionDragonsEnergized.doc</t>
        </is>
      </c>
      <c r="O5" s="8" t="inlineStr">
        <is>
          <t>Clone of Action Dragons. Scatter pays via paytable/triggers free games; only win-based wild multipliers present.</t>
        </is>
      </c>
    </row>
    <row r="6">
      <c r="A6" s="7" t="inlineStr">
        <is>
          <t>Amazon Chief</t>
        </is>
      </c>
      <c r="B6" s="7" t="inlineStr">
        <is>
          <t>no</t>
        </is>
      </c>
      <c r="C6" s="7" t="inlineStr"/>
      <c r="D6" s="7" t="inlineStr">
        <is>
          <t>none</t>
        </is>
      </c>
      <c r="E6" s="7" t="inlineStr"/>
      <c r="F6" s="8" t="inlineStr"/>
      <c r="G6" s="7" t="inlineStr">
        <is>
          <t>numLines=100</t>
        </is>
      </c>
      <c r="H6" s="7" t="inlineStr">
        <is>
          <t>No</t>
        </is>
      </c>
      <c r="I6" s="7" t="inlineStr">
        <is>
          <t>100</t>
        </is>
      </c>
      <c r="J6" s="8" t="inlineStr">
        <is>
          <t>'Jaguar' is a scatter. 10 free games are triggered by any 3 or more scattered 'Jaguar'. Scatters pay in any position.</t>
        </is>
      </c>
      <c r="K6" s="8" t="inlineStr">
        <is>
          <t>none (Amazon Chief is a substitute/expanding wild, not a value multiplier)</t>
        </is>
      </c>
      <c r="L6" s="8" t="inlineStr"/>
      <c r="M6" s="7" t="inlineStr">
        <is>
          <t>high</t>
        </is>
      </c>
      <c r="N6" s="7" t="inlineStr">
        <is>
          <t>Amazon Chief AGT_RGS_Rev A.doc</t>
        </is>
      </c>
      <c r="O6" s="8" t="inlineStr">
        <is>
          <t>Scatter 'Jaguar' pays via paytable and triggers free games. No bet-multiplied prize.</t>
        </is>
      </c>
    </row>
    <row r="7">
      <c r="A7" s="7" t="inlineStr">
        <is>
          <t>Amazon Gold</t>
        </is>
      </c>
      <c r="B7" s="7" t="inlineStr">
        <is>
          <t>no</t>
        </is>
      </c>
      <c r="C7" s="7" t="inlineStr"/>
      <c r="D7" s="7" t="inlineStr">
        <is>
          <t>none</t>
        </is>
      </c>
      <c r="E7" s="7" t="inlineStr"/>
      <c r="F7" s="8" t="inlineStr"/>
      <c r="G7" s="7" t="inlineStr">
        <is>
          <t>numLines=30</t>
        </is>
      </c>
      <c r="H7" s="7" t="inlineStr">
        <is>
          <t>No</t>
        </is>
      </c>
      <c r="I7" s="7" t="inlineStr">
        <is>
          <t>30</t>
        </is>
      </c>
      <c r="J7" s="8" t="inlineStr">
        <is>
          <t>'Amazon Gold' is a scatter. 10 free games are triggered by any 3 or more scattered 'Amazon Gold'. Scatters pay in any position.</t>
        </is>
      </c>
      <c r="K7" s="8" t="inlineStr">
        <is>
          <t>wild multiplier 'Macaw Multiplier' x1/x2 (reel 2) and x1/x5 (reel 4) in Free Games Feature</t>
        </is>
      </c>
      <c r="L7" s="8" t="inlineStr">
        <is>
          <t>when 'Macaw Multiplier' substitutes in a winning combination the prize is multiplied by the displayed multiplier (win-based)</t>
        </is>
      </c>
      <c r="M7" s="7" t="inlineStr">
        <is>
          <t>high</t>
        </is>
      </c>
      <c r="N7" s="7" t="inlineStr">
        <is>
          <t>Amazon Gold_AGT_RGS_RevA.doc</t>
        </is>
      </c>
      <c r="O7" s="8" t="inlineStr">
        <is>
          <t>Clone of Mustang Money. Scatter pays via paytable; multipliers are win-based wild multipliers.</t>
        </is>
      </c>
    </row>
    <row r="8">
      <c r="A8" s="7" t="inlineStr">
        <is>
          <t>Arabian Fire Loaded with Loot</t>
        </is>
      </c>
      <c r="B8" s="7" t="inlineStr">
        <is>
          <t>yes</t>
        </is>
      </c>
      <c r="C8" s="7" t="inlineStr">
        <is>
          <t>Gold Opal, Silver Opal ('Opal' Prizes)</t>
        </is>
      </c>
      <c r="D8" s="7" t="inlineStr">
        <is>
          <t>total_bet</t>
        </is>
      </c>
      <c r="E8" s="10" t="inlineStr">
        <is>
          <t>TotalBet</t>
        </is>
      </c>
      <c r="F8" s="8" t="inlineStr">
        <is>
          <t>random Opal prize x total credits bet (or Major/Minor/Mini Bonus)</t>
        </is>
      </c>
      <c r="G8" s="7" t="inlineStr">
        <is>
          <t>numLines=25</t>
        </is>
      </c>
      <c r="H8" s="7" t="inlineStr">
        <is>
          <t>No</t>
        </is>
      </c>
      <c r="I8" s="7" t="inlineStr">
        <is>
          <t>25</t>
        </is>
      </c>
      <c r="J8" s="8" t="inlineStr">
        <is>
          <t>'Gold Opal' and 'Silver Opal' always appear on screen with a random 'Opal' Prize of 200, 100, 50, 25, 15, 10, 5, 4, 3, 2 or 1 multiplied by total credits bet, Major Bonus, Minor Bonus or Mini Bonus as displayed.</t>
        </is>
      </c>
      <c r="K8" s="8" t="inlineStr">
        <is>
          <t>wild x3/x5 ('Phoenix x3' reel 2, 'Phoenix x5' reel 4) in Free Games Feature; combined x15</t>
        </is>
      </c>
      <c r="L8" s="8" t="inlineStr">
        <is>
          <t>wins with Phoenix x3/x5 substituting are multiplied by 3/5 (both = x15) (win-based)</t>
        </is>
      </c>
      <c r="M8" s="7" t="inlineStr">
        <is>
          <t>high</t>
        </is>
      </c>
      <c r="N8" s="7" t="inlineStr">
        <is>
          <t>Arabian Fire_AGT_RGS_RevD.doc</t>
        </is>
      </c>
      <c r="O8" s="8" t="inlineStr">
        <is>
          <t>Opal prize scatters explicitly multiplied by total credits bet. Separate Phoenix wild multipliers are win-based.</t>
        </is>
      </c>
    </row>
    <row r="9">
      <c r="A9" s="7" t="inlineStr">
        <is>
          <t>Arabian Rose</t>
        </is>
      </c>
      <c r="B9" s="7" t="inlineStr">
        <is>
          <t>no</t>
        </is>
      </c>
      <c r="C9" s="7" t="inlineStr"/>
      <c r="D9" s="7" t="inlineStr">
        <is>
          <t>none</t>
        </is>
      </c>
      <c r="E9" s="7" t="inlineStr"/>
      <c r="F9" s="8" t="inlineStr"/>
      <c r="G9" s="7" t="inlineStr">
        <is>
          <t>numLines=100</t>
        </is>
      </c>
      <c r="H9" s="7" t="inlineStr">
        <is>
          <t>No</t>
        </is>
      </c>
      <c r="I9" s="7" t="inlineStr">
        <is>
          <t>100</t>
        </is>
      </c>
      <c r="J9" s="8" t="inlineStr">
        <is>
          <t>'Rose' triggers the Bonus Wild Feature with 8 free games (via paytable scatter). Any 7, 8 or 9 'Bonus Wild' will award a Bonus Prize of 10, 25 or 50, respectively multiplied by the total bet as displayed.</t>
        </is>
      </c>
      <c r="K9" s="8" t="inlineStr">
        <is>
          <t>Bonus Wild count prize: 7/8/9 Bonus Wilds award 10/25/50 x total bet (feature bonus prize)</t>
        </is>
      </c>
      <c r="L9" s="8" t="inlineStr">
        <is>
          <t>bonus prize (10/25/50) multiplied by total bet as displayed</t>
        </is>
      </c>
      <c r="M9" s="7" t="inlineStr">
        <is>
          <t>medium</t>
        </is>
      </c>
      <c r="N9" s="7" t="inlineStr">
        <is>
          <t>Arabian Rose_AGT_RGS_RevA.doc</t>
        </is>
      </c>
      <c r="O9" s="8" t="inlineStr">
        <is>
          <t>Scatter 'Rose' itself only triggers feature and pays via paytable, so scatter_multiplier_present=no. However a feature Bonus Prize (based on Bonus Wild count) IS a fixed value x total bet - recorded under other_multipliers.</t>
        </is>
      </c>
    </row>
    <row r="10">
      <c r="A10" s="7" t="inlineStr">
        <is>
          <t>Barnyard Bonanza</t>
        </is>
      </c>
      <c r="B10" s="7" t="inlineStr">
        <is>
          <t>no</t>
        </is>
      </c>
      <c r="C10" s="7" t="inlineStr"/>
      <c r="D10" s="7" t="inlineStr">
        <is>
          <t>none</t>
        </is>
      </c>
      <c r="E10" s="7" t="inlineStr"/>
      <c r="F10" s="8" t="inlineStr"/>
      <c r="G10" s="7" t="inlineStr">
        <is>
          <t>numLines=20</t>
        </is>
      </c>
      <c r="H10" s="7" t="inlineStr">
        <is>
          <t>No</t>
        </is>
      </c>
      <c r="I10" s="7" t="inlineStr">
        <is>
          <t>20</t>
        </is>
      </c>
      <c r="J10" s="8" t="inlineStr">
        <is>
          <t>'Chicken' is a scatter and appears during paid games only. Free games feature is triggered by 3 or more scattered 'Chicken'. When 'Golden Egg' appears during any feature it will reveal a mystery bonus prize (as displayed) OR award ONE, TWO OR THREE free games. The maximum bonus prize revealed from 'Golden Egg' is 5 times the total bet.</t>
        </is>
      </c>
      <c r="K10" s="8" t="inlineStr">
        <is>
          <t>'Golden Egg' mystery bonus prize (max 5x total bet) during features</t>
        </is>
      </c>
      <c r="L10" s="8" t="inlineStr">
        <is>
          <t>mystery bonus prize, maximum 5 times the total bet (as displayed)</t>
        </is>
      </c>
      <c r="M10" s="7" t="inlineStr">
        <is>
          <t>medium</t>
        </is>
      </c>
      <c r="N10" s="7" t="inlineStr">
        <is>
          <t>BarnyardBonzanza_rules_guide_2908.docx</t>
        </is>
      </c>
      <c r="O10" s="8" t="inlineStr">
        <is>
          <t>Scatter 'Chicken' only triggers the free games feature (present=no). 'Golden Egg' reveals a random mystery bonus prize whose maximum is 5x total bet - bet-multiplied but a mystery feature prize, not a value-displaying scatter multiplier per se; recorded under other_multipliers.</t>
        </is>
      </c>
    </row>
    <row r="11">
      <c r="A11" s="7" t="inlineStr">
        <is>
          <t>Ben Hur</t>
        </is>
      </c>
      <c r="B11" s="7" t="inlineStr">
        <is>
          <t>no</t>
        </is>
      </c>
      <c r="C11" s="7" t="inlineStr"/>
      <c r="D11" s="7" t="inlineStr">
        <is>
          <t>none</t>
        </is>
      </c>
      <c r="E11" s="7" t="inlineStr"/>
      <c r="F11" s="8" t="inlineStr"/>
      <c r="G11" s="7" t="inlineStr">
        <is>
          <t>numLines=20</t>
        </is>
      </c>
      <c r="H11" s="7" t="inlineStr">
        <is>
          <t>No</t>
        </is>
      </c>
      <c r="I11" s="7" t="inlineStr">
        <is>
          <t>20</t>
        </is>
      </c>
      <c r="J11" s="8" t="inlineStr">
        <is>
          <t>'Coin' is a scatter and appears during paid games only. 3 or more 'Coin' triggers the Battle Feature. When 'Money Bag' appears during any feature it will award a mystery bonus prize. The maximum bonus prize awarded from 'Money Bag' is 100 times the BET and minimum bonus prize awarded from 'Money Bag' is 4 times the BET.</t>
        </is>
      </c>
      <c r="K11" s="8" t="inlineStr">
        <is>
          <t>'Money Bag' mystery bonus prize (4x to 100x BET) in feature</t>
        </is>
      </c>
      <c r="L11" s="8" t="inlineStr">
        <is>
          <t>mystery bonus prize between 4x and 100x the BET (base 'BET' not specified as total vs per-line)</t>
        </is>
      </c>
      <c r="M11" s="7" t="inlineStr">
        <is>
          <t>medium</t>
        </is>
      </c>
      <c r="N11" s="7" t="inlineStr">
        <is>
          <t>Ben Hur_AGT_RGS_RevA.doc</t>
        </is>
      </c>
      <c r="O11" s="8" t="inlineStr">
        <is>
          <t>Scatter 'Coin' pays via paytable and triggers the feature (present=no). Money Bag mystery prize is bet-multiplied but doc says 'BET' without specifying total bet vs bet-per-line - ambiguous.</t>
        </is>
      </c>
    </row>
    <row r="12">
      <c r="A12" s="7" t="inlineStr">
        <is>
          <t>Beyond The Moon</t>
        </is>
      </c>
      <c r="B12" s="7" t="inlineStr">
        <is>
          <t>no</t>
        </is>
      </c>
      <c r="C12" s="7" t="inlineStr"/>
      <c r="D12" s="7" t="inlineStr">
        <is>
          <t>none</t>
        </is>
      </c>
      <c r="E12" s="7" t="inlineStr"/>
      <c r="F12" s="8" t="inlineStr"/>
      <c r="G12" s="7" t="inlineStr">
        <is>
          <t>numLines=40/50/100</t>
        </is>
      </c>
      <c r="H12" s="7" t="inlineStr">
        <is>
          <t>No</t>
        </is>
      </c>
      <c r="I12" s="7" t="inlineStr">
        <is>
          <t>40</t>
        </is>
      </c>
      <c r="J12" s="8" t="inlineStr">
        <is>
          <t>'Moon' is a scatter. Scatter wins are multiplied by the total credits bet. Line wins multiplied by credits bet per line. 10 free games are triggered by any 3 or more scattered 'Moon'.</t>
        </is>
      </c>
      <c r="K12" s="8" t="inlineStr">
        <is>
          <t>wild multiplier 'Dolphin' on reel 3 x1/x2/x3/x5 in Free Games Feature</t>
        </is>
      </c>
      <c r="L12" s="8" t="inlineStr">
        <is>
          <t>when 'Dolphin' on reel 3 substitutes in a winning combination the prize is randomly multiplied by x1/x2/x3/x5 as displayed (win-based)</t>
        </is>
      </c>
      <c r="M12" s="7" t="inlineStr">
        <is>
          <t>high</t>
        </is>
      </c>
      <c r="N12" s="7" t="inlineStr">
        <is>
          <t>Beyond the Moon A560_INT_ tech spec Rev B pf1.doc</t>
        </is>
      </c>
      <c r="O12" s="8" t="inlineStr">
        <is>
          <t>'Moon' is a standard paytable scatter (scatter wins x total credits bet is generic scatter-pay mechanics), not a value-displaying scatter multiplier, so present=no. TechSpec doc. Dolphin wild multiplier is win-based.</t>
        </is>
      </c>
    </row>
    <row r="13">
      <c r="A13" s="7" t="inlineStr">
        <is>
          <t>Big Bang Bucks</t>
        </is>
      </c>
      <c r="B13" s="7" t="inlineStr">
        <is>
          <t>no</t>
        </is>
      </c>
      <c r="C13" s="7" t="inlineStr"/>
      <c r="D13" s="7" t="inlineStr">
        <is>
          <t>none</t>
        </is>
      </c>
      <c r="E13" s="7" t="inlineStr"/>
      <c r="F13" s="8" t="inlineStr"/>
      <c r="G13" s="7" t="inlineStr">
        <is>
          <t>numLines=100</t>
        </is>
      </c>
      <c r="H13" s="7" t="inlineStr">
        <is>
          <t>No</t>
        </is>
      </c>
      <c r="I13" s="7" t="inlineStr">
        <is>
          <t>100</t>
        </is>
      </c>
      <c r="J13" s="8" t="inlineStr">
        <is>
          <t>'Big Bang Bucks' and 'Wild Big Bang Bucks' are scatters. 8 free games are triggered by any 3 or more scatters. Scatters pay in any position.</t>
        </is>
      </c>
      <c r="K13" s="8" t="inlineStr">
        <is>
          <t>none (Dynamite feature transforms symbols to wilds; not a value multiplier)</t>
        </is>
      </c>
      <c r="L13" s="8" t="inlineStr"/>
      <c r="M13" s="7" t="inlineStr">
        <is>
          <t>high</t>
        </is>
      </c>
      <c r="N13" s="7" t="inlineStr">
        <is>
          <t>Big_Bang_BucksAGT_RGS_Rev A pf1.doc</t>
        </is>
      </c>
      <c r="O13" s="8" t="inlineStr">
        <is>
          <t>Scatters pay via paytable and trigger free games. Dynamite is a symbol-transform feature, no bet-multiplied prize.</t>
        </is>
      </c>
    </row>
    <row r="14">
      <c r="A14" s="7" t="inlineStr">
        <is>
          <t>Big Thunder (King Strike)</t>
        </is>
      </c>
      <c r="B14" s="7" t="inlineStr">
        <is>
          <t>no</t>
        </is>
      </c>
      <c r="C14" s="7" t="inlineStr"/>
      <c r="D14" s="7" t="inlineStr">
        <is>
          <t>none</t>
        </is>
      </c>
      <c r="E14" s="7" t="inlineStr"/>
      <c r="F14" s="8" t="inlineStr"/>
      <c r="G14" s="7" t="inlineStr">
        <is>
          <t>numLines up to 30 (1/2/3/5/10/15/20/25/30)</t>
        </is>
      </c>
      <c r="H14" s="7" t="inlineStr">
        <is>
          <t>No</t>
        </is>
      </c>
      <c r="I14" s="7" t="inlineStr">
        <is>
          <t>30</t>
        </is>
      </c>
      <c r="J14" s="8" t="inlineStr">
        <is>
          <t>'Big Thunder' is a scatter. 15 Bonus Reel Feature games are triggered by any 3 or more scattered 'Big Thunder'.</t>
        </is>
      </c>
      <c r="K14" s="8" t="inlineStr">
        <is>
          <t>bonus-reel x3/x5 ('x3','x5' symbols) in Bonus Reel Feature; King Strike bonuses (Major/Maxi/Minor/Mini)</t>
        </is>
      </c>
      <c r="L14" s="8" t="inlineStr">
        <is>
          <t>when 'x3'/'x5' appears on the bonus reel all wins for that game are multiplied by 3/5 (win-based)</t>
        </is>
      </c>
      <c r="M14" s="7" t="inlineStr">
        <is>
          <t>high</t>
        </is>
      </c>
      <c r="N14" s="7" t="inlineStr">
        <is>
          <t>Big Thunder Game.doc</t>
        </is>
      </c>
      <c r="O14" s="8" t="inlineStr">
        <is>
          <t>Scatter pays via paytable/triggers feature. Bonus reel x3/x5 multiply the whole-game win (win-based). King Strike bonuses are fixed symbol-driven bonuses.</t>
        </is>
      </c>
    </row>
    <row r="15">
      <c r="A15" s="7" t="inlineStr">
        <is>
          <t>Big Thunder (Quad Shot)</t>
        </is>
      </c>
      <c r="B15" s="7" t="inlineStr">
        <is>
          <t>no</t>
        </is>
      </c>
      <c r="C15" s="7" t="inlineStr"/>
      <c r="D15" s="7" t="inlineStr">
        <is>
          <t>none</t>
        </is>
      </c>
      <c r="E15" s="7" t="inlineStr"/>
      <c r="F15" s="8" t="inlineStr"/>
      <c r="G15" s="7" t="inlineStr">
        <is>
          <t>numLines=25</t>
        </is>
      </c>
      <c r="H15" s="7" t="inlineStr">
        <is>
          <t>No</t>
        </is>
      </c>
      <c r="I15" s="7" t="inlineStr">
        <is>
          <t>25</t>
        </is>
      </c>
      <c r="J15" s="8" t="inlineStr">
        <is>
          <t>'Big Thunder' is a scatter. 15 Bonus Reel Feature games are triggered by any 3 or more scattered 'Big Thunder'.</t>
        </is>
      </c>
      <c r="K15" s="8" t="inlineStr">
        <is>
          <t>bonus-reel x3/x5 in Bonus Reel Feature; QUAD Shot bonuses (Major/Maxi/Minor/Mini)</t>
        </is>
      </c>
      <c r="L15" s="8" t="inlineStr">
        <is>
          <t>when 'x3'/'x5' appears on the bonus reel all wins for that game are multiplied by 3/5 (win-based)</t>
        </is>
      </c>
      <c r="M15" s="7" t="inlineStr">
        <is>
          <t>high</t>
        </is>
      </c>
      <c r="N15" s="7" t="inlineStr">
        <is>
          <t>Big Thunder QuadShot_RevA.doc</t>
        </is>
      </c>
      <c r="O15" s="8" t="inlineStr">
        <is>
          <t>Scatter pays via paytable/triggers feature. Bonus reel x3/x5 win-based. QUAD Shot bonuses are fixed.</t>
        </is>
      </c>
    </row>
    <row r="16">
      <c r="A16" s="7" t="inlineStr">
        <is>
          <t>BigThunderEnergized</t>
        </is>
      </c>
      <c r="B16" s="7" t="inlineStr">
        <is>
          <t>no</t>
        </is>
      </c>
      <c r="C16" s="7" t="inlineStr"/>
      <c r="D16" s="7" t="inlineStr">
        <is>
          <t>none</t>
        </is>
      </c>
      <c r="E16" s="7" t="inlineStr"/>
      <c r="F16" s="8" t="inlineStr"/>
      <c r="G16" s="7" t="inlineStr">
        <is>
          <t>numLines=25</t>
        </is>
      </c>
      <c r="H16" s="7" t="inlineStr">
        <is>
          <t>No</t>
        </is>
      </c>
      <c r="I16" s="7" t="inlineStr">
        <is>
          <t>25</t>
        </is>
      </c>
      <c r="J16" s="8" t="inlineStr">
        <is>
          <t>'Big Thunder' is a scatter. 15 Bonus Reel Feature games are triggered by any 3 or more scattered 'Big Thunder'.</t>
        </is>
      </c>
      <c r="K16" s="8" t="inlineStr">
        <is>
          <t>bonus-reel x3/x5 in Bonus Reel Feature; QUAD Shot bonuses</t>
        </is>
      </c>
      <c r="L16" s="8" t="inlineStr">
        <is>
          <t>when 'x3'/'x5' appears on the bonus reel all wins for that game are multiplied by 3/5 (win-based)</t>
        </is>
      </c>
      <c r="M16" s="7" t="inlineStr">
        <is>
          <t>high</t>
        </is>
      </c>
      <c r="N16" s="7" t="inlineStr">
        <is>
          <t>BigThunderEnergized.doc</t>
        </is>
      </c>
      <c r="O16" s="8" t="inlineStr">
        <is>
          <t>Clone of Big Thunder. Scatter pays via paytable/triggers feature; bonus reel x3/x5 win-based.</t>
        </is>
      </c>
    </row>
    <row r="17">
      <c r="A17" s="7" t="inlineStr">
        <is>
          <t>BigThunderMegaLoot_MLB</t>
        </is>
      </c>
      <c r="B17" s="7" t="inlineStr">
        <is>
          <t>yes</t>
        </is>
      </c>
      <c r="C17" s="7" t="inlineStr">
        <is>
          <t>RED BANANA (Cash Loot prize)</t>
        </is>
      </c>
      <c r="D17" s="7" t="inlineStr">
        <is>
          <t>static_multiplier</t>
        </is>
      </c>
      <c r="E17" s="11" t="inlineStr">
        <is>
          <t>LineBetFromStaticMultiplier</t>
        </is>
      </c>
      <c r="F17" s="8" t="inlineStr">
        <is>
          <t>numLines=50, static=75 -&gt; prize x (50 x bet per line) = total_bet*50/75</t>
        </is>
      </c>
      <c r="G17" s="7" t="inlineStr">
        <is>
          <t>numLines=50, static=75 (Total Bet=75)</t>
        </is>
      </c>
      <c r="H17" s="7" t="inlineStr">
        <is>
          <t>No</t>
        </is>
      </c>
      <c r="I17" s="7" t="inlineStr">
        <is>
          <t>50</t>
        </is>
      </c>
      <c r="J17" s="8" t="inlineStr">
        <is>
          <t>All available bet options are multiplied by static multiplier '75'. RED BANANA with random Prize of 1, 2, 3, 5, 8, 10, 25, 50 or 75 multiplied by 50 times of the bet per line value will only be available for those feature games which are associated with CASH LOOT.</t>
        </is>
      </c>
      <c r="K17" s="8" t="inlineStr">
        <is>
          <t>BONUS LOOT collect-style bonuses (Mini/Minor/Maxi/Major/Grand); WILD substitute</t>
        </is>
      </c>
      <c r="L17" s="8" t="inlineStr">
        <is>
          <t>Bonus Loot prizes are fixed bonus levels (see Bonus Configuration), not bet-multiplied per-symbol values</t>
        </is>
      </c>
      <c r="M17" s="7" t="inlineStr">
        <is>
          <t>high</t>
        </is>
      </c>
      <c r="N17" s="7" t="inlineStr">
        <is>
          <t>BigThunderMegaLoot_RevA.doc</t>
        </is>
      </c>
      <c r="O17" s="8" t="inlineStr">
        <is>
          <t>Static multiplier 75 with 50 lines; Cash Loot RED BANANA prize = random value x 50 x bet-per-line. Prize base is total_bet*50/75 (ratio). Clone of Lagoon MegaLoot.</t>
        </is>
      </c>
    </row>
    <row r="18">
      <c r="A18" s="7" t="inlineStr">
        <is>
          <t>BlackEagleTripleShot</t>
        </is>
      </c>
      <c r="B18" s="7" t="inlineStr">
        <is>
          <t>no</t>
        </is>
      </c>
      <c r="C18" s="7" t="inlineStr"/>
      <c r="D18" s="7" t="inlineStr">
        <is>
          <t>none</t>
        </is>
      </c>
      <c r="E18" s="7" t="inlineStr"/>
      <c r="F18" s="8" t="inlineStr"/>
      <c r="G18" s="7" t="inlineStr">
        <is>
          <t>numLines=50, static/AnteBet=75</t>
        </is>
      </c>
      <c r="H18" s="7" t="inlineStr">
        <is>
          <t>No</t>
        </is>
      </c>
      <c r="I18" s="7" t="inlineStr">
        <is>
          <t>50</t>
        </is>
      </c>
      <c r="J18" s="8" t="inlineStr">
        <is>
          <t>All available bet options are multiplied by static multiplier '75'. [Sticky Wild Games Coin][Bonus Prize Games Coin][Extra Spins Games Coin][+1 Extra Game] are scatters. Any combination of 1 or more [...] may randomly trigger 8 Free Games.</t>
        </is>
      </c>
      <c r="K18" s="8" t="inlineStr">
        <is>
          <t>Bonus Prize Games collect-style bonuses (Mini/Minor/Maxi/Major/Grand Coin)</t>
        </is>
      </c>
      <c r="L18" s="8" t="inlineStr">
        <is>
          <t>Bonus prizes are fixed bonus levels awarded by collecting coins (see Bonus Configuration), not per-symbol bet-multiplied values</t>
        </is>
      </c>
      <c r="M18" s="7" t="inlineStr">
        <is>
          <t>medium</t>
        </is>
      </c>
      <c r="N18" s="7" t="inlineStr">
        <is>
          <t>BlackEagleTripleShot.docx</t>
        </is>
      </c>
      <c r="O18" s="8" t="inlineStr">
        <is>
          <t>Static multiplier 75 with 50 lines present, but the scatter coins only trigger features and bonuses are fixed collect-style values (no 'prize x N times bet' displayed scatter). Unlike its sibling MegaLoot there is no Cash-Loot bet-multiplied prize. Clone of San Fa Dragons.</t>
        </is>
      </c>
    </row>
    <row r="19">
      <c r="A19" s="7" t="inlineStr">
        <is>
          <t>Blue Whale QS</t>
        </is>
      </c>
      <c r="B19" s="7" t="inlineStr">
        <is>
          <t>no</t>
        </is>
      </c>
      <c r="C19" s="7" t="inlineStr"/>
      <c r="D19" s="7" t="inlineStr">
        <is>
          <t>none</t>
        </is>
      </c>
      <c r="E19" s="7" t="inlineStr"/>
      <c r="F19" s="8" t="inlineStr"/>
      <c r="G19" s="7" t="inlineStr">
        <is>
          <t>numLines=25</t>
        </is>
      </c>
      <c r="H19" s="7" t="inlineStr">
        <is>
          <t>No</t>
        </is>
      </c>
      <c r="I19" s="7" t="inlineStr">
        <is>
          <t>25</t>
        </is>
      </c>
      <c r="J19" s="8" t="inlineStr">
        <is>
          <t>'Sunrise' is a scatter. 15 Bonus Reel Feature games are triggered by any 3 or more scattered 'Sunrise'.</t>
        </is>
      </c>
      <c r="K19" s="8" t="inlineStr">
        <is>
          <t>bonus-reel x3/x5 in Bonus Reel Feature; QUAD Shot bonuses</t>
        </is>
      </c>
      <c r="L19" s="8" t="inlineStr">
        <is>
          <t>when 'x3'/'x5' appears on the bonus reel all wins for that game are multiplied by 3/5 (win-based)</t>
        </is>
      </c>
      <c r="M19" s="7" t="inlineStr">
        <is>
          <t>high</t>
        </is>
      </c>
      <c r="N19" s="7" t="inlineStr">
        <is>
          <t>Blue Whale QuadShot_RevA.doc</t>
        </is>
      </c>
      <c r="O19" s="8" t="inlineStr">
        <is>
          <t>Clone of Green Whale (same family as Big Thunder Quad Shot). Scatter pays via paytable/triggers feature; bonus reel x3/x5 win-based.</t>
        </is>
      </c>
    </row>
    <row r="20">
      <c r="A20" s="7" t="inlineStr">
        <is>
          <t>Buffalo Rumble</t>
        </is>
      </c>
      <c r="B20" s="7" t="inlineStr">
        <is>
          <t>no</t>
        </is>
      </c>
      <c r="C20" s="7" t="inlineStr"/>
      <c r="D20" s="7" t="inlineStr">
        <is>
          <t>none</t>
        </is>
      </c>
      <c r="E20" s="7" t="inlineStr"/>
      <c r="F20" s="8" t="inlineStr"/>
      <c r="G20" s="7" t="inlineStr">
        <is>
          <t>numLines up to 100 (variable)</t>
        </is>
      </c>
      <c r="H20" s="7" t="inlineStr">
        <is>
          <t>No</t>
        </is>
      </c>
      <c r="I20" s="7" t="inlineStr">
        <is>
          <t>20</t>
        </is>
      </c>
      <c r="J20" s="8" t="inlineStr">
        <is>
          <t>'Coin' is a scatter. 10 free games are triggered by any 3 or more scattered 'Coin'. Scatter wins and line wins are added.</t>
        </is>
      </c>
      <c r="K20" s="8" t="inlineStr">
        <is>
          <t>wild multipliers 'Silver Star'/'Gold Star' x2/x3/x5/x8/x10 (Free/Super/Ultimate Choice features)</t>
        </is>
      </c>
      <c r="L20" s="8" t="inlineStr">
        <is>
          <t>when Silver/Gold Star substitutes in a win the pay for that win is doubled/tripled/x5/x8/x10 (win-based)</t>
        </is>
      </c>
      <c r="M20" s="7" t="inlineStr">
        <is>
          <t>high</t>
        </is>
      </c>
      <c r="N20" s="7" t="inlineStr">
        <is>
          <t>Buffalo Rumble A560 INT Non SAP Rev C pf7.doc</t>
        </is>
      </c>
      <c r="O20" s="8" t="inlineStr">
        <is>
          <t>'Coin' is a paytable scatter (pays 2/5/15/50) that triggers free games. All multipliers are win-based wild multipliers.</t>
        </is>
      </c>
    </row>
    <row r="21">
      <c r="A21" s="7" t="inlineStr">
        <is>
          <t>Buffalo Thunder</t>
        </is>
      </c>
      <c r="B21" s="7" t="inlineStr">
        <is>
          <t>no</t>
        </is>
      </c>
      <c r="C21" s="7" t="inlineStr"/>
      <c r="D21" s="7" t="inlineStr">
        <is>
          <t>none</t>
        </is>
      </c>
      <c r="E21" s="7" t="inlineStr"/>
      <c r="F21" s="8" t="inlineStr"/>
      <c r="G21" s="7" t="inlineStr">
        <is>
          <t>numLines up to 100 (variable)</t>
        </is>
      </c>
      <c r="H21" s="7" t="inlineStr">
        <is>
          <t>No</t>
        </is>
      </c>
      <c r="I21" s="7" t="inlineStr">
        <is>
          <t>100</t>
        </is>
      </c>
      <c r="J21" s="8" t="inlineStr">
        <is>
          <t>'Coyote' is a scatter. 20, 12 or 8 free games are triggered by any 5, 4 or 3 scattered 'Coyote' respectively.</t>
        </is>
      </c>
      <c r="K21" s="8" t="inlineStr">
        <is>
          <t>none</t>
        </is>
      </c>
      <c r="L21" s="8" t="inlineStr"/>
      <c r="M21" s="7" t="inlineStr">
        <is>
          <t>high</t>
        </is>
      </c>
      <c r="N21" s="7" t="inlineStr">
        <is>
          <t>Buffalo Thunder INT 560 A pf2.doc</t>
        </is>
      </c>
      <c r="O21" s="8" t="inlineStr">
        <is>
          <t>Scatter 'Coyote' triggers free games / pays via paytable. No multipliers found in rules text.</t>
        </is>
      </c>
    </row>
    <row r="22">
      <c r="A22" s="7" t="inlineStr">
        <is>
          <t>Busta Bucks</t>
        </is>
      </c>
      <c r="B22" s="7" t="inlineStr">
        <is>
          <t>no</t>
        </is>
      </c>
      <c r="C22" s="7" t="inlineStr"/>
      <c r="D22" s="7" t="inlineStr">
        <is>
          <t>none</t>
        </is>
      </c>
      <c r="E22" s="7" t="inlineStr"/>
      <c r="F22" s="8" t="inlineStr"/>
      <c r="G22" s="7" t="inlineStr">
        <is>
          <t>numLines variable (also a 1 credit buys 2 lines variant)</t>
        </is>
      </c>
      <c r="H22" s="7" t="inlineStr">
        <is>
          <t>No</t>
        </is>
      </c>
      <c r="I22" s="7" t="inlineStr">
        <is>
          <t>40</t>
        </is>
      </c>
      <c r="J22" s="8" t="inlineStr">
        <is>
          <t>'Cobra' is a scatter. Scatter wins are multiplied by the total credits bet. Line wins multiplied by credits bet per line. 8 free games are triggered by any 3 or more scattered 'Cobra'.</t>
        </is>
      </c>
      <c r="K22" s="8" t="inlineStr">
        <is>
          <t>wild 'Busta' x2 in Free Games Feature</t>
        </is>
      </c>
      <c r="L22" s="8" t="inlineStr">
        <is>
          <t>during free games one or more 'Busta' substituting doubles (x2) the prize (win-based)</t>
        </is>
      </c>
      <c r="M22" s="7" t="inlineStr">
        <is>
          <t>high</t>
        </is>
      </c>
      <c r="N22" s="7" t="inlineStr">
        <is>
          <t>Busta Bucks A560_INT_Tech Spec RevB pf2.doc</t>
        </is>
      </c>
      <c r="O22" s="8" t="inlineStr">
        <is>
          <t>'Cobra' is a standard paytable scatter (scatter wins x total credits bet is generic scatter-pay mechanics), not a value-displaying scatter multiplier -&gt; present=no. Busta wild x2 is win-based. TechSpec doc.</t>
        </is>
      </c>
    </row>
    <row r="23">
      <c r="A23" s="7" t="inlineStr">
        <is>
          <t>Cash Cave</t>
        </is>
      </c>
      <c r="B23" s="7" t="inlineStr">
        <is>
          <t>no</t>
        </is>
      </c>
      <c r="C23" s="7" t="inlineStr"/>
      <c r="D23" s="7" t="inlineStr">
        <is>
          <t>none</t>
        </is>
      </c>
      <c r="E23" s="7" t="inlineStr"/>
      <c r="F23" s="8" t="inlineStr"/>
      <c r="G23" s="7" t="inlineStr">
        <is>
          <t>numLines variable</t>
        </is>
      </c>
      <c r="H23" s="7" t="inlineStr">
        <is>
          <t>No</t>
        </is>
      </c>
      <c r="I23" s="7" t="inlineStr">
        <is>
          <t>6</t>
        </is>
      </c>
      <c r="J23" s="8" t="inlineStr">
        <is>
          <t>'Cash Cave' is a scatter. 10 free games are triggered by any 3 or more scattered 'Cash Cave'. Scatter wins and line wins are added.</t>
        </is>
      </c>
      <c r="K23" s="8" t="inlineStr">
        <is>
          <t>wild multiplier 'Bear' (values 2-8 per Bear Multipliers Table) in Free Games / Cash Cave Feature</t>
        </is>
      </c>
      <c r="L23" s="8" t="inlineStr">
        <is>
          <t>if 'Bear' substitutes in a win the pay for that win is multiplied by the 'Bear' multiplier as displayed (win-based)</t>
        </is>
      </c>
      <c r="M23" s="7" t="inlineStr">
        <is>
          <t>high</t>
        </is>
      </c>
      <c r="N23" s="7" t="inlineStr">
        <is>
          <t>Cash Cave AGT_RGS_Rev C.doc</t>
        </is>
      </c>
      <c r="O23" s="8" t="inlineStr">
        <is>
          <t>Scatter 'Cash Cave' pays via paytable / triggers free games. Bear multiplier is a win-based wild multiplier.</t>
        </is>
      </c>
    </row>
    <row r="24">
      <c r="A24" s="7" t="inlineStr">
        <is>
          <t>Cash Hound</t>
        </is>
      </c>
      <c r="B24" s="7" t="inlineStr">
        <is>
          <t>no</t>
        </is>
      </c>
      <c r="C24" s="7" t="inlineStr"/>
      <c r="D24" s="7" t="inlineStr">
        <is>
          <t>none</t>
        </is>
      </c>
      <c r="E24" s="7" t="inlineStr"/>
      <c r="F24" s="8" t="inlineStr"/>
      <c r="G24" s="7" t="inlineStr">
        <is>
          <t>numLines=25/50</t>
        </is>
      </c>
      <c r="H24" s="7" t="inlineStr">
        <is>
          <t>No</t>
        </is>
      </c>
      <c r="I24" s="7" t="inlineStr">
        <is>
          <t>25</t>
        </is>
      </c>
      <c r="J24" s="8" t="inlineStr">
        <is>
          <t>'Gold Bone' is a scatter and appears during paid games and Super Feature only. Scatter wins are multiplied by the total credits bet. Line wins multiplied by credits bet per line.</t>
        </is>
      </c>
      <c r="K24" s="8" t="inlineStr">
        <is>
          <t>bonus-reel x2/x3 (Crazy Feature &amp; Super Feature); wild 'Golden Hound' x2; Jackpot Spin fixed bonuses (Grand/Major/Maxi/Minor/Mini)</t>
        </is>
      </c>
      <c r="L24" s="8" t="inlineStr">
        <is>
          <t>x2/x3 bonus reel multiplies all wins (win-based); Golden Hound doubles the line win (win-based); Jackpot bonuses are fixed prize levels</t>
        </is>
      </c>
      <c r="M24" s="7" t="inlineStr">
        <is>
          <t>high</t>
        </is>
      </c>
      <c r="N24" s="7" t="inlineStr">
        <is>
          <t>Cash Hound_A560_NSW_RevEpf3.doc</t>
        </is>
      </c>
      <c r="O24" s="8" t="inlineStr">
        <is>
          <t>'Gold Bone' is a standard paytable scatter (scatter wins x total credits bet is generic mechanics) -&gt; present=no. Feature multipliers x2/x3 and Golden Hound are win-based; Bonus/Jackpot prizes are fixed symbol-driven levels. A560 TechSpec doc.</t>
        </is>
      </c>
    </row>
    <row r="25">
      <c r="A25" s="7" t="inlineStr">
        <is>
          <t>Cash Voyage (MoneyUp)</t>
        </is>
      </c>
      <c r="B25" s="7" t="inlineStr">
        <is>
          <t>no</t>
        </is>
      </c>
      <c r="C25" s="7" t="inlineStr"/>
      <c r="D25" s="7" t="inlineStr">
        <is>
          <t>none</t>
        </is>
      </c>
      <c r="E25" s="7" t="inlineStr"/>
      <c r="F25" s="8" t="inlineStr"/>
      <c r="G25" s="7" t="inlineStr">
        <is>
          <t>numLines=50/100; no static multiplier</t>
        </is>
      </c>
      <c r="H25" s="7" t="inlineStr">
        <is>
          <t>No</t>
        </is>
      </c>
      <c r="I25" s="7" t="inlineStr">
        <is>
          <t>50</t>
        </is>
      </c>
      <c r="J25" s="8" t="inlineStr">
        <is>
          <t>The initial Ladder Prizes on the top of each reel are 1, 2, 3, 4, 5, 6 and 10 multiplied by the total bet. The Ladder Prizes are then multiplied by the sum of the Arrow X1, Arrow X2 and Arrow X3 from the corresponding reel.</t>
        </is>
      </c>
      <c r="K25" s="8" t="inlineStr">
        <is>
          <t>Money Up Feature ladder prizes (1,2,3,4,5,6,10) x total bet, then x sum of Arrow X1/X2/X3 per reel</t>
        </is>
      </c>
      <c r="L25" s="8" t="inlineStr">
        <is>
          <t>ladder/feature prize base = total bet (then scaled by arrow count per reel)</t>
        </is>
      </c>
      <c r="M25" s="7" t="inlineStr">
        <is>
          <t>high</t>
        </is>
      </c>
      <c r="N25" s="7" t="inlineStr">
        <is>
          <t>Cash Voyage_AGT_RGS_RevB.docx</t>
        </is>
      </c>
      <c r="O25" s="8" t="inlineStr">
        <is>
          <t>No coin/prize scatter symbol. Feature is a climbing-ladder prize (Arrow X1/X2/X3 trigger it) whose base prizes are total-bet-multiplied; not a scatter multiplier in the coin-symbol sense.</t>
        </is>
      </c>
    </row>
    <row r="26">
      <c r="A26" s="7" t="inlineStr">
        <is>
          <t>CashCaveRingsOfFortune</t>
        </is>
      </c>
      <c r="B26" s="7" t="inlineStr">
        <is>
          <t>yes</t>
        </is>
      </c>
      <c r="C26" s="7" t="inlineStr">
        <is>
          <t>Orange Coin / Gold Coin (Coin symbols)</t>
        </is>
      </c>
      <c r="D26" s="7" t="inlineStr">
        <is>
          <t>bet_per_line</t>
        </is>
      </c>
      <c r="E26" s="11" t="inlineStr">
        <is>
          <t>LineBetFromStaticMultiplier</t>
        </is>
      </c>
      <c r="F26" s="8" t="inlineStr">
        <is>
          <t>prize value (1..25) x 50 x bet per line; equals total_bet*50/75 given static 75</t>
        </is>
      </c>
      <c r="G26" s="7" t="inlineStr">
        <is>
          <t>numLines=50, static=75</t>
        </is>
      </c>
      <c r="H26" s="7" t="inlineStr">
        <is>
          <t>No</t>
        </is>
      </c>
      <c r="I26" s="7" t="inlineStr">
        <is>
          <t>50</t>
        </is>
      </c>
      <c r="J26" s="8" t="inlineStr">
        <is>
          <t>Coin symbols always appear on screen with a random Prize of 1, 2, 3, 5, 8, 12, 15, 20 or 25 multiplied by 50 times of the bet per line value, OR MAXI or MINI, as displayed. All available bet options are multiplied by static multiplier '75'.</t>
        </is>
      </c>
      <c r="K26" s="8" t="inlineStr">
        <is>
          <t>FrameX2/FrameX3/FrameX5 (Rings of Fortune Hold'nSpin) multiply the displayed Gold Coin prize by 2/3/5</t>
        </is>
      </c>
      <c r="L26" s="8" t="inlineStr">
        <is>
          <t>multiplies the displayed coin scatter prize (prize-based)</t>
        </is>
      </c>
      <c r="M26" s="7" t="inlineStr">
        <is>
          <t>high</t>
        </is>
      </c>
      <c r="N26" s="7" t="inlineStr">
        <is>
          <t>CashCaveRingsOfFortune_RevA.doc</t>
        </is>
      </c>
      <c r="O26" s="8" t="inlineStr">
        <is>
          <t>Prize explicitly '50 times of the bet per line value' so base is bet per line; static multiplier 75 and 50 lines both present (50xBPL = total_bet*50/75).</t>
        </is>
      </c>
    </row>
    <row r="27">
      <c r="A27" s="7" t="inlineStr">
        <is>
          <t>Cheetah Chase</t>
        </is>
      </c>
      <c r="B27" s="7" t="inlineStr">
        <is>
          <t>no</t>
        </is>
      </c>
      <c r="C27" s="7" t="inlineStr"/>
      <c r="D27" s="7" t="inlineStr">
        <is>
          <t>none</t>
        </is>
      </c>
      <c r="E27" s="7" t="inlineStr"/>
      <c r="F27" s="8" t="inlineStr"/>
      <c r="G27" s="7" t="inlineStr">
        <is>
          <t>numLines up to 100</t>
        </is>
      </c>
      <c r="H27" s="7" t="inlineStr">
        <is>
          <t>No</t>
        </is>
      </c>
      <c r="I27" s="7" t="inlineStr">
        <is>
          <t>100</t>
        </is>
      </c>
      <c r="J27" s="8" t="inlineStr">
        <is>
          <t>'Mask' is a scatter. 10 free games are triggered by any 3 or more scattered 'Mask'.</t>
        </is>
      </c>
      <c r="K27" s="8" t="inlineStr">
        <is>
          <t>none (Cheetah is expanding wild via Replace Symbol Feature, no numeric multiplier)</t>
        </is>
      </c>
      <c r="L27" s="8" t="inlineStr"/>
      <c r="M27" s="7" t="inlineStr">
        <is>
          <t>high</t>
        </is>
      </c>
      <c r="N27" s="7" t="inlineStr">
        <is>
          <t>Cheetah Chase A560 INT Bpf2.doc</t>
        </is>
      </c>
      <c r="O27" s="8" t="inlineStr">
        <is>
          <t>Mask scatter only triggers free games and pays via paytable; no bet-multiplied prize symbol.</t>
        </is>
      </c>
    </row>
    <row r="28">
      <c r="A28" s="7" t="inlineStr">
        <is>
          <t>Chiefs Magic</t>
        </is>
      </c>
      <c r="B28" s="7" t="inlineStr">
        <is>
          <t>no</t>
        </is>
      </c>
      <c r="C28" s="7" t="inlineStr"/>
      <c r="D28" s="7" t="inlineStr">
        <is>
          <t>none</t>
        </is>
      </c>
      <c r="E28" s="7" t="inlineStr"/>
      <c r="F28" s="8" t="inlineStr"/>
      <c r="G28" s="7" t="inlineStr">
        <is>
          <t>numLines=50</t>
        </is>
      </c>
      <c r="H28" s="7" t="inlineStr">
        <is>
          <t>No</t>
        </is>
      </c>
      <c r="I28" s="7" t="inlineStr">
        <is>
          <t>50</t>
        </is>
      </c>
      <c r="J28" s="8" t="inlineStr">
        <is>
          <t>'Wolf Eye' is a scatter. 10 free games are triggered by any 3 or more scatters. If 'x3' or 'x5' substitutes in a win, the pay for that win is multiplied by 3 or 5 respectively.</t>
        </is>
      </c>
      <c r="K28" s="8" t="inlineStr">
        <is>
          <t>x3/x5 substitute-wild symbols in Free Games multiply the win</t>
        </is>
      </c>
      <c r="L28" s="8" t="inlineStr">
        <is>
          <t>multiplies the line win (win-based)</t>
        </is>
      </c>
      <c r="M28" s="7" t="inlineStr">
        <is>
          <t>high</t>
        </is>
      </c>
      <c r="N28" s="7" t="inlineStr">
        <is>
          <t>Chiefs Magic_AGT_RGS_RevA.doc</t>
        </is>
      </c>
      <c r="O28" s="8" t="inlineStr">
        <is>
          <t>Wolf Eye scatter triggers respin/free games and pays via paytable. Bonus trigger chance proportional to total bet but that is a bonus, not a prize base.</t>
        </is>
      </c>
    </row>
    <row r="29">
      <c r="A29" s="7" t="inlineStr">
        <is>
          <t>CoinKingdomAztec</t>
        </is>
      </c>
      <c r="B29" s="7" t="inlineStr">
        <is>
          <t>no</t>
        </is>
      </c>
      <c r="C29" s="7" t="inlineStr"/>
      <c r="D29" s="7" t="inlineStr">
        <is>
          <t>none</t>
        </is>
      </c>
      <c r="E29" s="7" t="inlineStr"/>
      <c r="F29" s="8" t="inlineStr"/>
      <c r="G29" s="7" t="inlineStr">
        <is>
          <t>1024-3456 ways (no lines)</t>
        </is>
      </c>
      <c r="H29" s="7" t="inlineStr">
        <is>
          <t>No</t>
        </is>
      </c>
      <c r="I29" s="7" t="inlineStr"/>
      <c r="J29" s="8" t="inlineStr">
        <is>
          <t>Select a 'PICK COIN' to reveal 'PICKED COIN' with prize of 37.50, 56.25, 93.75, 112.50, 131.25, 168.75 or 187.50 multiplied by total bet as displayed. Total bet played during the free games is the same as the game that triggered the free games.</t>
        </is>
      </c>
      <c r="K29" s="8" t="inlineStr">
        <is>
          <t>WILD-2x/3x/4x/5x multiply each winning combination in feature; Mystery Match 3 PICKED COIN credit prizes = value x total bet</t>
        </is>
      </c>
      <c r="L29" s="8" t="inlineStr">
        <is>
          <t>WILD multipliers multiply the winning combination (win-based); picked-coin credit prizes = total bet based</t>
        </is>
      </c>
      <c r="M29" s="7" t="inlineStr">
        <is>
          <t>medium</t>
        </is>
      </c>
      <c r="N29" s="7" t="inlineStr">
        <is>
          <t>CoinKingdomAztec.doc</t>
        </is>
      </c>
      <c r="O29" s="8" t="inlineStr">
        <is>
          <t>Blue/Gold/Red trigger coins carry no displayed value (just trigger free games), so no scatter multiplier on reels. Credit prizes exist only in the Mystery Match 3 pick feature and are total-bet-multiplied.</t>
        </is>
      </c>
    </row>
    <row r="30">
      <c r="A30" s="7" t="inlineStr">
        <is>
          <t>CoinKingdomEgyptian</t>
        </is>
      </c>
      <c r="B30" s="7" t="inlineStr">
        <is>
          <t>no</t>
        </is>
      </c>
      <c r="C30" s="7" t="inlineStr"/>
      <c r="D30" s="7" t="inlineStr">
        <is>
          <t>none</t>
        </is>
      </c>
      <c r="E30" s="7" t="inlineStr"/>
      <c r="F30" s="8" t="inlineStr"/>
      <c r="G30" s="7" t="inlineStr">
        <is>
          <t>1024-3456 ways (no lines)</t>
        </is>
      </c>
      <c r="H30" s="7" t="inlineStr">
        <is>
          <t>No</t>
        </is>
      </c>
      <c r="I30" s="7" t="inlineStr"/>
      <c r="J30" s="8" t="inlineStr">
        <is>
          <t>Select a 'PICK COIN' to reveal 'PICKED COIN' with prize of 37.50, 56.25, 93.75, 112.50, 131.25, 168.75 or 187.50 multiplied by total bet as displayed. Total bet played during the free games is the same as the game that triggered the free games.</t>
        </is>
      </c>
      <c r="K30" s="8" t="inlineStr">
        <is>
          <t>WILD-2x/3x/4x/5x multiply each winning combination in feature; Mystery Match 3 PICKED COIN credit prizes = value x total bet</t>
        </is>
      </c>
      <c r="L30" s="8" t="inlineStr">
        <is>
          <t>WILD multipliers multiply the winning combination (win-based); picked-coin credit prizes = total bet based</t>
        </is>
      </c>
      <c r="M30" s="7" t="inlineStr">
        <is>
          <t>medium</t>
        </is>
      </c>
      <c r="N30" s="7" t="inlineStr">
        <is>
          <t>CoinKingdomEgyptian.doc</t>
        </is>
      </c>
      <c r="O30" s="8" t="inlineStr">
        <is>
          <t>Identical ruleset to Coin Kingdom Aztec. Trigger coins have no displayed value; total-bet prizes only in Mystery Match 3 pick feature.</t>
        </is>
      </c>
    </row>
    <row r="31">
      <c r="A31" s="7" t="inlineStr">
        <is>
          <t>Congo King</t>
        </is>
      </c>
      <c r="B31" s="7" t="inlineStr">
        <is>
          <t>no</t>
        </is>
      </c>
      <c r="C31" s="7" t="inlineStr"/>
      <c r="D31" s="7" t="inlineStr">
        <is>
          <t>none</t>
        </is>
      </c>
      <c r="E31" s="7" t="inlineStr"/>
      <c r="F31" s="8" t="inlineStr"/>
      <c r="G31" s="7" t="inlineStr">
        <is>
          <t>numLines=25/50/100</t>
        </is>
      </c>
      <c r="H31" s="7" t="inlineStr">
        <is>
          <t>No</t>
        </is>
      </c>
      <c r="I31" s="7" t="inlineStr">
        <is>
          <t>100</t>
        </is>
      </c>
      <c r="J31" s="8" t="inlineStr">
        <is>
          <t>'Congo King' is a scatter. When 'x3' appears anywhere on the bonus reel all wins for that game are TRIPLED (x3) except 5 of a kind 'Gorilla'. When 'x5' appears anywhere on the bonus reel all wins for that game are MULTIPLIED BY 5 (x5) except 5 of a kind 'Gorilla'.</t>
        </is>
      </c>
      <c r="K31" s="8" t="inlineStr">
        <is>
          <t>x3/x5 bonus-reel symbols multiply all wins for that game x3/x5 (Bonus Reel Feature)</t>
        </is>
      </c>
      <c r="L31" s="8" t="inlineStr">
        <is>
          <t>multiplies all wins that game (win-based)</t>
        </is>
      </c>
      <c r="M31" s="7" t="inlineStr">
        <is>
          <t>high</t>
        </is>
      </c>
      <c r="N31" s="7" t="inlineStr">
        <is>
          <t>Congo King_RevA.doc</t>
        </is>
      </c>
      <c r="O31" s="8" t="inlineStr">
        <is>
          <t>Congo King scatter triggers Bonus Reel Feature and pays via paytable; no bet-multiplied prize symbol.</t>
        </is>
      </c>
    </row>
    <row r="32">
      <c r="A32" s="7" t="inlineStr">
        <is>
          <t>Cougar Cash $</t>
        </is>
      </c>
      <c r="B32" s="7" t="inlineStr">
        <is>
          <t>no</t>
        </is>
      </c>
      <c r="C32" s="7" t="inlineStr"/>
      <c r="D32" s="7" t="inlineStr">
        <is>
          <t>none</t>
        </is>
      </c>
      <c r="E32" s="7" t="inlineStr"/>
      <c r="F32" s="8" t="inlineStr"/>
      <c r="G32" s="7" t="inlineStr">
        <is>
          <t>numLines=20</t>
        </is>
      </c>
      <c r="H32" s="7" t="inlineStr">
        <is>
          <t>No</t>
        </is>
      </c>
      <c r="I32" s="7" t="inlineStr">
        <is>
          <t>20</t>
        </is>
      </c>
      <c r="J32" s="8" t="inlineStr">
        <is>
          <t>'Logo' is a scatter. Any 3 or more scattered 'Logo' triggers the Free Games Feature with 10 free games. If one or more 'WildX1','WildX2','WildX3', 'WildX5' substitutes in a win, the prize for that win is multiplied by every multiplier as displayed.</t>
        </is>
      </c>
      <c r="K32" s="8" t="inlineStr">
        <is>
          <t>WildX1/X2/X3/X5 transform reels and multiply the winning prize in Free Games</t>
        </is>
      </c>
      <c r="L32" s="8" t="inlineStr">
        <is>
          <t>multiplies the win (win-based)</t>
        </is>
      </c>
      <c r="M32" s="7" t="inlineStr">
        <is>
          <t>high</t>
        </is>
      </c>
      <c r="N32" s="7" t="inlineStr">
        <is>
          <t>Cougar Cash_AGT_RGS_RevA.doc</t>
        </is>
      </c>
      <c r="O32" s="8" t="inlineStr">
        <is>
          <t>Logo scatter triggers free games and pays via paytable; no bet-multiplied prize symbol.</t>
        </is>
      </c>
    </row>
    <row r="33">
      <c r="A33" s="7" t="inlineStr">
        <is>
          <t>Crazy Goose</t>
        </is>
      </c>
      <c r="B33" s="7" t="inlineStr">
        <is>
          <t>no</t>
        </is>
      </c>
      <c r="C33" s="7" t="inlineStr"/>
      <c r="D33" s="7" t="inlineStr">
        <is>
          <t>none</t>
        </is>
      </c>
      <c r="E33" s="7" t="inlineStr"/>
      <c r="F33" s="8" t="inlineStr"/>
      <c r="G33" s="7" t="inlineStr">
        <is>
          <t>numLines=100</t>
        </is>
      </c>
      <c r="H33" s="7" t="inlineStr">
        <is>
          <t>No</t>
        </is>
      </c>
      <c r="I33" s="7" t="inlineStr">
        <is>
          <t>100</t>
        </is>
      </c>
      <c r="J33" s="8" t="inlineStr">
        <is>
          <t>'Egg Basket' and 'Wild Egg Basket' are scatters and appear during paid games only. During the Free Games Feature, all wins are multiplied by the multiplier value shown on the Bonus Reel.</t>
        </is>
      </c>
      <c r="K33" s="8" t="inlineStr">
        <is>
          <t>x2/x3 (with/without Spin Again) Bonus Reel multipliers apply to all wins in Free Games</t>
        </is>
      </c>
      <c r="L33" s="8" t="inlineStr">
        <is>
          <t>multiplies all wins (win-based)</t>
        </is>
      </c>
      <c r="M33" s="7" t="inlineStr">
        <is>
          <t>high</t>
        </is>
      </c>
      <c r="N33" s="7" t="inlineStr">
        <is>
          <t>Crazy_Goose_AGT_RGS_Rev_E.doc</t>
        </is>
      </c>
      <c r="O33" s="8" t="inlineStr">
        <is>
          <t>Egg Basket scatter triggers free games and pays via paytable; bonus-reel x2/x3 are win multipliers, not bet-based prize symbols.</t>
        </is>
      </c>
    </row>
    <row r="34">
      <c r="A34" s="7" t="inlineStr">
        <is>
          <t>Crystal Cash</t>
        </is>
      </c>
      <c r="B34" s="7" t="inlineStr">
        <is>
          <t>no</t>
        </is>
      </c>
      <c r="C34" s="7" t="inlineStr"/>
      <c r="D34" s="7" t="inlineStr">
        <is>
          <t>none</t>
        </is>
      </c>
      <c r="E34" s="7" t="inlineStr"/>
      <c r="F34" s="8" t="inlineStr"/>
      <c r="G34" s="7" t="inlineStr">
        <is>
          <t>numLines=30-100</t>
        </is>
      </c>
      <c r="H34" s="7" t="inlineStr">
        <is>
          <t>No</t>
        </is>
      </c>
      <c r="I34" s="7" t="inlineStr">
        <is>
          <t>100</t>
        </is>
      </c>
      <c r="J34" s="8" t="inlineStr">
        <is>
          <t>'Diamond' is a scatter. During the Free Games Feature, when 'Dollar' substitutes in a winning combination, the prize is randomly multiplied by x2 or x3 as displayed.</t>
        </is>
      </c>
      <c r="K34" s="8" t="inlineStr">
        <is>
          <t>Dollar wild x2/x3 multiplier in Free Games</t>
        </is>
      </c>
      <c r="L34" s="8" t="inlineStr">
        <is>
          <t>multiplies the winning prize (win-based)</t>
        </is>
      </c>
      <c r="M34" s="7" t="inlineStr">
        <is>
          <t>high</t>
        </is>
      </c>
      <c r="N34" s="7" t="inlineStr">
        <is>
          <t>Crystal Cash AGT_RGS_Rev C.doc</t>
        </is>
      </c>
      <c r="O34" s="8" t="inlineStr">
        <is>
          <t>Diamond scatter triggers free games and pays via paytable; no bet-multiplied prize symbol.</t>
        </is>
      </c>
    </row>
    <row r="35">
      <c r="A35" s="7" t="inlineStr">
        <is>
          <t>CyberCash</t>
        </is>
      </c>
      <c r="B35" s="7" t="inlineStr">
        <is>
          <t>no</t>
        </is>
      </c>
      <c r="C35" s="7" t="inlineStr"/>
      <c r="D35" s="7" t="inlineStr">
        <is>
          <t>none</t>
        </is>
      </c>
      <c r="E35" s="7" t="inlineStr"/>
      <c r="F35" s="8" t="inlineStr"/>
      <c r="G35" s="7" t="inlineStr">
        <is>
          <t>bet multiplier=50 (no lines)</t>
        </is>
      </c>
      <c r="H35" s="7" t="inlineStr">
        <is>
          <t>No</t>
        </is>
      </c>
      <c r="I35" s="7" t="inlineStr">
        <is>
          <t>50</t>
        </is>
      </c>
      <c r="J35" s="8" t="inlineStr">
        <is>
          <t>Any 5 or more of a kind symbols will award their combined displayed prize. When 'GrabAll' appears, all the prizes displayed on the screen are awarded.</t>
        </is>
      </c>
      <c r="K35" s="8" t="inlineStr">
        <is>
          <t>none (Mystery symbol transforms; GrabAll collects displayed prizes)</t>
        </is>
      </c>
      <c r="L35" s="8" t="inlineStr"/>
      <c r="M35" s="7" t="inlineStr">
        <is>
          <t>medium</t>
        </is>
      </c>
      <c r="N35" s="7" t="inlineStr">
        <is>
          <t>CyberCash_AGT_RGS_RevC.doc</t>
        </is>
      </c>
      <c r="O35" s="8" t="inlineStr">
        <is>
          <t>Cash-on-reels style game (bet multiplier 50). Paytable prizes are fixed credit values; rules do not state a scatter/coin prize multiplied by bet, so no scatter multiplier.</t>
        </is>
      </c>
    </row>
    <row r="36">
      <c r="A36" s="7" t="inlineStr">
        <is>
          <t>Dazzling Donuts_ULF</t>
        </is>
      </c>
      <c r="B36" s="7" t="inlineStr">
        <is>
          <t>yes</t>
        </is>
      </c>
      <c r="C36" s="7" t="inlineStr">
        <is>
          <t>Yellow Donut (GOLDEN symbol)</t>
        </is>
      </c>
      <c r="D36" s="7" t="inlineStr">
        <is>
          <t>bet_per_line</t>
        </is>
      </c>
      <c r="E36" s="11" t="inlineStr">
        <is>
          <t>LineBetFromStaticMultiplier</t>
        </is>
      </c>
      <c r="F36" s="8" t="inlineStr">
        <is>
          <t>prize value (1..75) x 20 x bet per line; static multiplier 30, 20 lines</t>
        </is>
      </c>
      <c r="G36" s="7" t="inlineStr">
        <is>
          <t>numLines=20, static=30</t>
        </is>
      </c>
      <c r="H36" s="7" t="inlineStr">
        <is>
          <t>No</t>
        </is>
      </c>
      <c r="I36" s="7" t="inlineStr">
        <is>
          <t>20</t>
        </is>
      </c>
      <c r="J36" s="8" t="inlineStr">
        <is>
          <t>All available bet options are multiplied by static multiplier '30'. Yellow Donut is a scatter and GOLDEN symbol, which award random prizes of 1, 2, 3, 5, 8, 10, 25, 50 or 75 multiplied by 20 times of the bet per line value and only be available for those feature games which are associated with GOLDEN feature.</t>
        </is>
      </c>
      <c r="K36" s="8" t="inlineStr">
        <is>
          <t>CHOCOLATE DONUT WILD*2/*3/*5 act as additive line multipliers</t>
        </is>
      </c>
      <c r="L36" s="8" t="inlineStr">
        <is>
          <t>multiplies the winning line pay (win-based)</t>
        </is>
      </c>
      <c r="M36" s="7" t="inlineStr">
        <is>
          <t>high</t>
        </is>
      </c>
      <c r="N36" s="7" t="inlineStr">
        <is>
          <t>DazzlingDonuts_RevA.doc</t>
        </is>
      </c>
      <c r="O36" s="8" t="inlineStr">
        <is>
          <t>Prize explicitly '20 times of the bet per line value' so base is bet per line; static multiplier 30 and 20 lines also present.</t>
        </is>
      </c>
    </row>
    <row r="37">
      <c r="A37" s="7" t="inlineStr">
        <is>
          <t>DazzlingStars</t>
        </is>
      </c>
      <c r="B37" s="7" t="inlineStr">
        <is>
          <t>yes</t>
        </is>
      </c>
      <c r="C37" s="7" t="inlineStr">
        <is>
          <t>Golden Orb, Grand Orb, Major Orb, Minor Orb, Mini Orb (Ball symbols)</t>
        </is>
      </c>
      <c r="D37" s="7" t="inlineStr">
        <is>
          <t>total_bet</t>
        </is>
      </c>
      <c r="E37" s="10" t="inlineStr">
        <is>
          <t>TotalBet</t>
        </is>
      </c>
      <c r="F37" s="8" t="inlineStr">
        <is>
          <t>prize value (1,2,3,4,5,10,15,20,50,100) x total bet</t>
        </is>
      </c>
      <c r="G37" s="7" t="inlineStr">
        <is>
          <t>numLines=5-20; no static multiplier</t>
        </is>
      </c>
      <c r="H37" s="7" t="inlineStr">
        <is>
          <t>No</t>
        </is>
      </c>
      <c r="I37" s="7" t="inlineStr"/>
      <c r="J37" s="8" t="inlineStr">
        <is>
          <t>[Golden Orb],[Grand Orb],[Major Orb],[Minor Orb] and [Mini Orb] symbols always appear on screen with a random Prize of 1,2,3,4,5,10,15,20,50 and 100 multiplied by total bet as displayed.</t>
        </is>
      </c>
      <c r="K37" s="8" t="inlineStr">
        <is>
          <t>[Upgrade] modifier upgrades prize levels; Star1/2/3 add rows/win lines (no bet multiplier)</t>
        </is>
      </c>
      <c r="L37" s="8" t="inlineStr"/>
      <c r="M37" s="7" t="inlineStr">
        <is>
          <t>high</t>
        </is>
      </c>
      <c r="N37" s="7" t="inlineStr">
        <is>
          <t>DazzlingStars.doc</t>
        </is>
      </c>
      <c r="O37" s="8" t="inlineStr">
        <is>
          <t>Orb/Ball scatter symbols display a value multiplied by total bet; classic total-bet scatter multiplier.</t>
        </is>
      </c>
    </row>
    <row r="38">
      <c r="A38" s="7" t="inlineStr">
        <is>
          <t>Desert Hawk</t>
        </is>
      </c>
      <c r="B38" s="7" t="inlineStr">
        <is>
          <t>no</t>
        </is>
      </c>
      <c r="C38" s="7" t="inlineStr"/>
      <c r="D38" s="7" t="inlineStr">
        <is>
          <t>none</t>
        </is>
      </c>
      <c r="E38" s="7" t="inlineStr"/>
      <c r="F38" s="8" t="inlineStr"/>
      <c r="G38" s="7" t="inlineStr">
        <is>
          <t>numLines=20</t>
        </is>
      </c>
      <c r="H38" s="7" t="inlineStr">
        <is>
          <t>No</t>
        </is>
      </c>
      <c r="I38" s="7" t="inlineStr">
        <is>
          <t>20</t>
        </is>
      </c>
      <c r="J38" s="8" t="inlineStr">
        <is>
          <t>'Desert' is a scatter. During paid games, 3 or more 'Desert' randomly triggers either the 'Desert Hawk Feature' or 'Desert Hawk Extra Feature'.</t>
        </is>
      </c>
      <c r="K38" s="8" t="inlineStr">
        <is>
          <t>none (Hawk is standard wild, held in feature)</t>
        </is>
      </c>
      <c r="L38" s="8" t="inlineStr"/>
      <c r="M38" s="7" t="inlineStr">
        <is>
          <t>high</t>
        </is>
      </c>
      <c r="N38" s="7" t="inlineStr">
        <is>
          <t>Desert Hawk_AGT_RGS_RevA.doc</t>
        </is>
      </c>
      <c r="O38" s="8" t="inlineStr">
        <is>
          <t>Desert scatter triggers free games and pays via paytable; no bet-multiplied prize symbol.</t>
        </is>
      </c>
    </row>
    <row r="39">
      <c r="A39" s="7" t="inlineStr">
        <is>
          <t>Diamond Avalanche</t>
        </is>
      </c>
      <c r="B39" s="7" t="inlineStr">
        <is>
          <t>no</t>
        </is>
      </c>
      <c r="C39" s="7" t="inlineStr"/>
      <c r="D39" s="7" t="inlineStr">
        <is>
          <t>none</t>
        </is>
      </c>
      <c r="E39" s="7" t="inlineStr"/>
      <c r="F39" s="8" t="inlineStr"/>
      <c r="G39" s="7" t="inlineStr">
        <is>
          <t>numLines=30/40/50; no static multiplier</t>
        </is>
      </c>
      <c r="H39" s="9" t="inlineStr">
        <is>
          <t>Yes</t>
        </is>
      </c>
      <c r="I39" s="7" t="inlineStr">
        <is>
          <t>30/40/50</t>
        </is>
      </c>
      <c r="J39" s="8" t="inlineStr">
        <is>
          <t>'Logo' is a scatter. Scatter wins are multiplied by the total credits bet. Line wins multiplied by credits bet per line, except progressives.</t>
        </is>
      </c>
      <c r="K39" s="8" t="inlineStr">
        <is>
          <t>Wild Multiplier (Free Games/Diamond Feature) multiplies the winning combination; Bonus Prizes = fixed credits (1000/400/200/100) x bet per line</t>
        </is>
      </c>
      <c r="L39" s="8" t="inlineStr">
        <is>
          <t>Wild Multiplier multiplies the line win (win-based); bonus prizes = fixed credits x bet per line</t>
        </is>
      </c>
      <c r="M39" s="7" t="inlineStr">
        <is>
          <t>high</t>
        </is>
      </c>
      <c r="N39" s="7" t="inlineStr">
        <is>
          <t>Diamond Avalanche_SHS_INT_Bpf2.doc</t>
        </is>
      </c>
      <c r="O39" s="8" t="inlineStr">
        <is>
          <t>Legacy A560 TechSpec. Logo scatter pays paytable value x total bet (standard scatter pay, not a displayed coin-prize symbol). Bonus prizes are fixed credits x bet per line.</t>
        </is>
      </c>
    </row>
    <row r="40">
      <c r="A40" s="7" t="inlineStr">
        <is>
          <t>Diamond Chief</t>
        </is>
      </c>
      <c r="B40" s="7" t="inlineStr">
        <is>
          <t>no</t>
        </is>
      </c>
      <c r="C40" s="7" t="inlineStr"/>
      <c r="D40" s="7" t="inlineStr">
        <is>
          <t>none</t>
        </is>
      </c>
      <c r="E40" s="7" t="inlineStr"/>
      <c r="F40" s="8" t="inlineStr"/>
      <c r="G40" s="7" t="inlineStr">
        <is>
          <t>numLines=100</t>
        </is>
      </c>
      <c r="H40" s="7" t="inlineStr">
        <is>
          <t>No</t>
        </is>
      </c>
      <c r="I40" s="7" t="inlineStr">
        <is>
          <t>100</t>
        </is>
      </c>
      <c r="J40" s="8" t="inlineStr">
        <is>
          <t>'Diamond' is a scatter and appears on all reels during paid games only. If one or more Shield Multipliers substitute in a win, the prize for that win is multiplied by each Shield Multiplier, as displayed.</t>
        </is>
      </c>
      <c r="K40" s="8" t="inlineStr">
        <is>
          <t>Shield x2/x3 multipliers in Free Games</t>
        </is>
      </c>
      <c r="L40" s="8" t="inlineStr">
        <is>
          <t>multiplies the winning prize (win-based)</t>
        </is>
      </c>
      <c r="M40" s="7" t="inlineStr">
        <is>
          <t>high</t>
        </is>
      </c>
      <c r="N40" s="7" t="inlineStr">
        <is>
          <t>Diamond Chief AGT_RGS_Rev E.doc</t>
        </is>
      </c>
      <c r="O40" s="8" t="inlineStr">
        <is>
          <t>Diamond scatter triggers free games and pays via paytable; no bet-multiplied prize symbol.</t>
        </is>
      </c>
    </row>
    <row r="41">
      <c r="A41" s="7" t="inlineStr">
        <is>
          <t>Dollar Action</t>
        </is>
      </c>
      <c r="B41" s="7" t="inlineStr">
        <is>
          <t>no</t>
        </is>
      </c>
      <c r="C41" s="7" t="inlineStr"/>
      <c r="D41" s="7" t="inlineStr">
        <is>
          <t>none</t>
        </is>
      </c>
      <c r="E41" s="7" t="inlineStr"/>
      <c r="F41" s="8" t="inlineStr"/>
      <c r="G41" s="7" t="inlineStr">
        <is>
          <t>numLines=5/10/20; no static multiplier</t>
        </is>
      </c>
      <c r="H41" s="7" t="inlineStr">
        <is>
          <t>No</t>
        </is>
      </c>
      <c r="I41" s="7" t="inlineStr">
        <is>
          <t>5</t>
        </is>
      </c>
      <c r="J41" s="8" t="inlineStr">
        <is>
          <t>'Dollar' is a scatter. Scatter wins are multiplied by the number of lines played and credits bet per line.</t>
        </is>
      </c>
      <c r="K41" s="8" t="inlineStr">
        <is>
          <t>none (Dollar Action is expanding wild / Respin Feature, no numeric multiplier)</t>
        </is>
      </c>
      <c r="L41" s="8" t="inlineStr"/>
      <c r="M41" s="7" t="inlineStr">
        <is>
          <t>high</t>
        </is>
      </c>
      <c r="N41" s="7" t="inlineStr">
        <is>
          <t>Dollar Action nonSAP A560 INT Apf4.doc</t>
        </is>
      </c>
      <c r="O41" s="8" t="inlineStr">
        <is>
          <t>Legacy A560 spec. Dollar scatter pays paytable value x total bet (lines x bet per line); standard scatter pay, not a displayed coin-prize symbol.</t>
        </is>
      </c>
    </row>
    <row r="42">
      <c r="A42" s="7" t="inlineStr">
        <is>
          <t>Dollar Chief</t>
        </is>
      </c>
      <c r="B42" s="7" t="inlineStr">
        <is>
          <t>no</t>
        </is>
      </c>
      <c r="C42" s="7" t="inlineStr"/>
      <c r="D42" s="7" t="inlineStr">
        <is>
          <t>none</t>
        </is>
      </c>
      <c r="E42" s="7" t="inlineStr"/>
      <c r="F42" s="8" t="inlineStr"/>
      <c r="G42" s="7" t="inlineStr">
        <is>
          <t>numLines=5/10/20; no static multiplier</t>
        </is>
      </c>
      <c r="H42" s="7" t="inlineStr">
        <is>
          <t>No</t>
        </is>
      </c>
      <c r="I42" s="7" t="inlineStr">
        <is>
          <t>5</t>
        </is>
      </c>
      <c r="J42" s="8" t="inlineStr">
        <is>
          <t>'Chief' is a scatter. Scatter wins are multiplied by the total credits bet. When 'Chief x2' substitutes in winning combination, the prize is multiplied by 2.</t>
        </is>
      </c>
      <c r="K42" s="8" t="inlineStr">
        <is>
          <t>Chiefx2 wild doubles the winning prize in Free Games</t>
        </is>
      </c>
      <c r="L42" s="8" t="inlineStr">
        <is>
          <t>multiplies the win (win-based)</t>
        </is>
      </c>
      <c r="M42" s="7" t="inlineStr">
        <is>
          <t>high</t>
        </is>
      </c>
      <c r="N42" s="7" t="inlineStr">
        <is>
          <t>Dollar Chief_Tech Spec_INT A560 nonSAP Rev A pf 3.doc</t>
        </is>
      </c>
      <c r="O42" s="8" t="inlineStr">
        <is>
          <t>Legacy A560 TechSpec. Chief scatter pays paytable value x total bet; standard scatter pay, not a displayed coin-prize symbol.</t>
        </is>
      </c>
    </row>
    <row r="43">
      <c r="A43" s="7" t="inlineStr">
        <is>
          <t>Dollar Streak</t>
        </is>
      </c>
      <c r="B43" s="7" t="inlineStr">
        <is>
          <t>no</t>
        </is>
      </c>
      <c r="C43" s="7" t="inlineStr"/>
      <c r="D43" s="7" t="inlineStr">
        <is>
          <t>none</t>
        </is>
      </c>
      <c r="E43" s="7" t="inlineStr"/>
      <c r="F43" s="8" t="inlineStr"/>
      <c r="G43" s="7" t="inlineStr">
        <is>
          <t>numLines=5/10/20; no static multiplier</t>
        </is>
      </c>
      <c r="H43" s="7" t="inlineStr">
        <is>
          <t>No</t>
        </is>
      </c>
      <c r="I43" s="7" t="inlineStr">
        <is>
          <t>5</t>
        </is>
      </c>
      <c r="J43" s="8" t="inlineStr">
        <is>
          <t>'Dollar Streak' is a scatter. Scatter wins are multiplied by the total credits bet.</t>
        </is>
      </c>
      <c r="K43" s="8" t="inlineStr">
        <is>
          <t>none (Dollar Sign is expanding wild, no numeric multiplier)</t>
        </is>
      </c>
      <c r="L43" s="8" t="inlineStr"/>
      <c r="M43" s="7" t="inlineStr">
        <is>
          <t>high</t>
        </is>
      </c>
      <c r="N43" s="7" t="inlineStr">
        <is>
          <t>Dollar Streak A560 INT Apf2.doc</t>
        </is>
      </c>
      <c r="O43" s="8" t="inlineStr">
        <is>
          <t>Legacy A560 spec. Dollar Streak scatter pays paytable value x total bet; standard scatter pay, not a displayed coin-prize symbol.</t>
        </is>
      </c>
    </row>
    <row r="44">
      <c r="A44" s="7" t="inlineStr">
        <is>
          <t>Dolphins</t>
        </is>
      </c>
      <c r="B44" s="7" t="inlineStr">
        <is>
          <t>no</t>
        </is>
      </c>
      <c r="C44" s="7" t="inlineStr"/>
      <c r="D44" s="7" t="inlineStr">
        <is>
          <t>none</t>
        </is>
      </c>
      <c r="E44" s="7" t="inlineStr"/>
      <c r="F44" s="8" t="inlineStr"/>
      <c r="G44" s="7" t="inlineStr">
        <is>
          <t>numLines=30</t>
        </is>
      </c>
      <c r="H44" s="7" t="inlineStr">
        <is>
          <t>No</t>
        </is>
      </c>
      <c r="I44" s="7" t="inlineStr">
        <is>
          <t>30</t>
        </is>
      </c>
      <c r="J44" s="8" t="inlineStr">
        <is>
          <t>'Coin' is a scatter. 10 free games are triggered by any 3 or more scattered 'Coin'.</t>
        </is>
      </c>
      <c r="K44" s="8" t="inlineStr">
        <is>
          <t>none</t>
        </is>
      </c>
      <c r="L44" s="8" t="inlineStr"/>
      <c r="M44" s="7" t="inlineStr">
        <is>
          <t>high</t>
        </is>
      </c>
      <c r="N44" s="7" t="inlineStr">
        <is>
          <t>Dolphins AGT_RGS_Rev C.doc</t>
        </is>
      </c>
      <c r="O44" s="8" t="inlineStr">
        <is>
          <t>Coin scatter triggers free games and pays via paytable; no bet-multiplied prize symbol.</t>
        </is>
      </c>
    </row>
    <row r="45">
      <c r="A45" s="7" t="inlineStr">
        <is>
          <t>Dragon Climber QS</t>
        </is>
      </c>
      <c r="B45" s="7" t="inlineStr">
        <is>
          <t>no</t>
        </is>
      </c>
      <c r="C45" s="7" t="inlineStr"/>
      <c r="D45" s="7" t="inlineStr">
        <is>
          <t>none</t>
        </is>
      </c>
      <c r="E45" s="7" t="inlineStr"/>
      <c r="F45" s="8" t="inlineStr"/>
      <c r="G45" s="7" t="inlineStr">
        <is>
          <t>numLines=50</t>
        </is>
      </c>
      <c r="H45" s="7" t="inlineStr">
        <is>
          <t>No</t>
        </is>
      </c>
      <c r="I45" s="7" t="inlineStr">
        <is>
          <t>50</t>
        </is>
      </c>
      <c r="J45" s="8" t="inlineStr">
        <is>
          <t>'Temple' is a scatter. Free Games Feature is triggered by any 3 or more scattered 'Temple'. During the Free Games Feature, 'Orb' wins with 'Dragon' substituting are doubled.</t>
        </is>
      </c>
      <c r="K45" s="8" t="inlineStr">
        <is>
          <t>Orb wins doubled when Dragon substitutes (Free Games); Quad Shot Bonus</t>
        </is>
      </c>
      <c r="L45" s="8" t="inlineStr">
        <is>
          <t>multiplies the win (win-based)</t>
        </is>
      </c>
      <c r="M45" s="7" t="inlineStr">
        <is>
          <t>high</t>
        </is>
      </c>
      <c r="N45" s="7" t="inlineStr">
        <is>
          <t>DragonClimber_AGT_RGS_RevA.doc</t>
        </is>
      </c>
      <c r="O45" s="8" t="inlineStr">
        <is>
          <t>Temple scatter triggers free games and pays via paytable; no bet-multiplied prize symbol.</t>
        </is>
      </c>
    </row>
    <row r="46">
      <c r="A46" s="7" t="inlineStr">
        <is>
          <t>Dragon Lines Super</t>
        </is>
      </c>
      <c r="B46" s="7" t="inlineStr">
        <is>
          <t>no</t>
        </is>
      </c>
      <c r="C46" s="7" t="inlineStr"/>
      <c r="D46" s="7" t="inlineStr">
        <is>
          <t>none</t>
        </is>
      </c>
      <c r="E46" s="7" t="inlineStr"/>
      <c r="F46" s="8" t="inlineStr"/>
      <c r="G46" s="7" t="inlineStr">
        <is>
          <t>numLines=25/50/100</t>
        </is>
      </c>
      <c r="H46" s="7" t="inlineStr">
        <is>
          <t>No</t>
        </is>
      </c>
      <c r="I46" s="7" t="inlineStr">
        <is>
          <t>100</t>
        </is>
      </c>
      <c r="J46" s="8" t="inlineStr">
        <is>
          <t>'Yin Yang' Pays in any position. During paid games, any 3 or more Yin Yang triggers the FREE GAMES FEATURE with 10 free games.</t>
        </is>
      </c>
      <c r="K46" s="8" t="inlineStr">
        <is>
          <t>none (Super Spin fills reels with Gold Dragon, no numeric multiplier)</t>
        </is>
      </c>
      <c r="L46" s="8" t="inlineStr"/>
      <c r="M46" s="7" t="inlineStr">
        <is>
          <t>high</t>
        </is>
      </c>
      <c r="N46" s="7" t="inlineStr">
        <is>
          <t>Dragon Lines Super_RevA.doc</t>
        </is>
      </c>
      <c r="O46" s="8" t="inlineStr">
        <is>
          <t>Yin Yang scatter triggers free games and pays via paytable; no bet-multiplied prize symbol.</t>
        </is>
      </c>
    </row>
    <row r="47">
      <c r="A47" s="7" t="inlineStr">
        <is>
          <t>Dragon Lines</t>
        </is>
      </c>
      <c r="B47" s="7" t="inlineStr">
        <is>
          <t>no</t>
        </is>
      </c>
      <c r="C47" s="7" t="inlineStr"/>
      <c r="D47" s="7" t="inlineStr">
        <is>
          <t>none</t>
        </is>
      </c>
      <c r="E47" s="7" t="inlineStr"/>
      <c r="F47" s="8" t="inlineStr"/>
      <c r="G47" s="7" t="inlineStr">
        <is>
          <t>numLines=1-100</t>
        </is>
      </c>
      <c r="H47" s="7" t="inlineStr">
        <is>
          <t>No</t>
        </is>
      </c>
      <c r="I47" s="7" t="inlineStr">
        <is>
          <t>100</t>
        </is>
      </c>
      <c r="J47" s="8" t="inlineStr">
        <is>
          <t>'Yin Yang' is a scatter. 10 free games are triggered by any 3 or more scattered 'Yin Yang'.</t>
        </is>
      </c>
      <c r="K47" s="8" t="inlineStr">
        <is>
          <t>none</t>
        </is>
      </c>
      <c r="L47" s="8" t="inlineStr"/>
      <c r="M47" s="7" t="inlineStr">
        <is>
          <t>high</t>
        </is>
      </c>
      <c r="N47" s="7" t="inlineStr">
        <is>
          <t>Dragon Lines AGT_RGS_Rev B.doc</t>
        </is>
      </c>
      <c r="O47" s="8" t="inlineStr">
        <is>
          <t>Yin Yang scatter triggers free games and pays via paytable; no bet-multiplied prize symbol.</t>
        </is>
      </c>
    </row>
    <row r="48">
      <c r="A48" s="7" t="inlineStr">
        <is>
          <t>DragonLinesEnergized</t>
        </is>
      </c>
      <c r="B48" s="7" t="inlineStr">
        <is>
          <t>no</t>
        </is>
      </c>
      <c r="C48" s="7" t="inlineStr"/>
      <c r="D48" s="7" t="inlineStr">
        <is>
          <t>none</t>
        </is>
      </c>
      <c r="E48" s="7" t="inlineStr"/>
      <c r="F48" s="8" t="inlineStr"/>
      <c r="G48" s="7" t="inlineStr">
        <is>
          <t>numLines=100 (also 25/50 line options)</t>
        </is>
      </c>
      <c r="H48" s="7" t="inlineStr">
        <is>
          <t>No</t>
        </is>
      </c>
      <c r="I48" s="7" t="inlineStr">
        <is>
          <t>100</t>
        </is>
      </c>
      <c r="J48" s="8" t="inlineStr">
        <is>
          <t>"Yin Yang" is a scatter. During paid games, any 3 or more scattered "Yin Yang" trigger the "Dragon Feature" with 10 free games.</t>
        </is>
      </c>
      <c r="K48" s="8" t="inlineStr">
        <is>
          <t>none</t>
        </is>
      </c>
      <c r="L48" s="8" t="inlineStr"/>
      <c r="M48" s="7" t="inlineStr">
        <is>
          <t>high</t>
        </is>
      </c>
      <c r="N48" s="7" t="inlineStr">
        <is>
          <t>Dragon Lines Energized.doc</t>
        </is>
      </c>
      <c r="O48" s="8" t="inlineStr">
        <is>
          <t>Yin Yang scatter only triggers free games and pays via paytable; no bet-multiplied displayed prize. No wild multiplier.</t>
        </is>
      </c>
    </row>
    <row r="49">
      <c r="A49" s="7" t="inlineStr">
        <is>
          <t>DragonWaves</t>
        </is>
      </c>
      <c r="B49" s="7" t="inlineStr">
        <is>
          <t>yes</t>
        </is>
      </c>
      <c r="C49" s="7" t="inlineStr">
        <is>
          <t>Coin</t>
        </is>
      </c>
      <c r="D49" s="7" t="inlineStr">
        <is>
          <t>total_bet</t>
        </is>
      </c>
      <c r="E49" s="10" t="inlineStr">
        <is>
          <t>TotalBet</t>
        </is>
      </c>
      <c r="F49" s="8" t="inlineStr">
        <is>
          <t>random Prize of 1,2,3 or 5 x total bet</t>
        </is>
      </c>
      <c r="G49" s="7" t="inlineStr">
        <is>
          <t>numLines=100 (also 50)</t>
        </is>
      </c>
      <c r="H49" s="7" t="inlineStr">
        <is>
          <t>No</t>
        </is>
      </c>
      <c r="I49" s="7" t="inlineStr">
        <is>
          <t>100</t>
        </is>
      </c>
      <c r="J49" s="8" t="inlineStr">
        <is>
          <t>'Coin' symbol always appears on screen with a random Prize of 1,2,3 or 5 multiplied by total bet or with 'Mini' as displayed during the paid games only.</t>
        </is>
      </c>
      <c r="K49" s="8" t="inlineStr">
        <is>
          <t>Rings of Fortune bonus prizes (Grand/Major/Maxi/Minor/Mini fixed cent values); Bonus Ring awards extra ring/free game</t>
        </is>
      </c>
      <c r="L49" s="8" t="inlineStr">
        <is>
          <t>jackpot/bonus prizes are fixed cent amounts per bet config, not a live multiplier</t>
        </is>
      </c>
      <c r="M49" s="7" t="inlineStr">
        <is>
          <t>high</t>
        </is>
      </c>
      <c r="N49" s="7" t="inlineStr">
        <is>
          <t>DragonWaves_AGT_RGS_RevC.doc</t>
        </is>
      </c>
      <c r="O49" s="8" t="inlineStr">
        <is>
          <t>Coin scatter displays prize x total bet. Rings of Fortune feature awards prizes displayed on Coin.</t>
        </is>
      </c>
    </row>
    <row r="50">
      <c r="A50" s="7" t="inlineStr">
        <is>
          <t>Dream Dragons</t>
        </is>
      </c>
      <c r="B50" s="7" t="inlineStr">
        <is>
          <t>no</t>
        </is>
      </c>
      <c r="C50" s="7" t="inlineStr"/>
      <c r="D50" s="7" t="inlineStr">
        <is>
          <t>none</t>
        </is>
      </c>
      <c r="E50" s="7" t="inlineStr"/>
      <c r="F50" s="8" t="inlineStr"/>
      <c r="G50" s="7" t="inlineStr">
        <is>
          <t>numLines=40/50/100</t>
        </is>
      </c>
      <c r="H50" s="9" t="inlineStr">
        <is>
          <t>Yes</t>
        </is>
      </c>
      <c r="I50" s="7" t="inlineStr">
        <is>
          <t>40/50/100</t>
        </is>
      </c>
      <c r="J50" s="8" t="inlineStr">
        <is>
          <t>'Pergola' is a scatter. Scatter wins are multiplied by the total credits bet. Line wins multiplied by credits bet per line.</t>
        </is>
      </c>
      <c r="K50" s="8" t="inlineStr">
        <is>
          <t>free-games bonus-reel x2/x3/x5 (all wins doubled/tripled/x5)</t>
        </is>
      </c>
      <c r="L50" s="8" t="inlineStr">
        <is>
          <t>multiplies all wins for that free game (win-based)</t>
        </is>
      </c>
      <c r="M50" s="7" t="inlineStr">
        <is>
          <t>high</t>
        </is>
      </c>
      <c r="N50" s="7" t="inlineStr">
        <is>
          <t>Dream Dragons A560_INT_Rev B pf1.doc</t>
        </is>
      </c>
      <c r="O50" s="8" t="inlineStr">
        <is>
          <t>Pergola is a standard paytable scatter (scatter wins x total credits bet is standard scatter payout, not a displayed prize). x2/x3/x5 appear on a bonus reel in free games and multiply all wins.</t>
        </is>
      </c>
    </row>
    <row r="51">
      <c r="A51" s="7" t="inlineStr">
        <is>
          <t>Driller_v1</t>
        </is>
      </c>
      <c r="B51" s="7" t="inlineStr">
        <is>
          <t>yes</t>
        </is>
      </c>
      <c r="C51" s="7" t="inlineStr">
        <is>
          <t>Gold Opal, Silver Opal</t>
        </is>
      </c>
      <c r="D51" s="7" t="inlineStr">
        <is>
          <t>total_bet</t>
        </is>
      </c>
      <c r="E51" s="10" t="inlineStr">
        <is>
          <t>TotalBet</t>
        </is>
      </c>
      <c r="F51" s="8" t="inlineStr">
        <is>
          <t>Opal Prize of 200,100,50,25,15,10,5,4,3,2 or 1 x total credits bet</t>
        </is>
      </c>
      <c r="G51" s="7" t="inlineStr">
        <is>
          <t>numLines=25/50</t>
        </is>
      </c>
      <c r="H51" s="7" t="inlineStr">
        <is>
          <t>No</t>
        </is>
      </c>
      <c r="I51" s="7" t="inlineStr"/>
      <c r="J51" s="8" t="inlineStr">
        <is>
          <t>'Gold Opal' and 'Silver Opal' always appear on screen with a random 'Opal' Prize of 200, 100, 50, 25, 15, 10, 5, 4, 3, 2 or 1 multiplied by total credits bet, Major Bonus, Minor Bonus or Mini Bonus as displayed.</t>
        </is>
      </c>
      <c r="K51" s="8" t="inlineStr">
        <is>
          <t>Phoenix x3 / Phoenix x5 wild substitutes (x3, x5, combined x15); Robo Multiplier feature awards a multiple of the original bet</t>
        </is>
      </c>
      <c r="L51" s="8" t="inlineStr">
        <is>
          <t>Phoenix x3/x5 multiply the line win where they substitute (win-based); Robo Multiplier is a multiple of the bet amount</t>
        </is>
      </c>
      <c r="M51" s="7" t="inlineStr">
        <is>
          <t>high</t>
        </is>
      </c>
      <c r="N51" s="7" t="inlineStr">
        <is>
          <t>Driller_v1_Submission.doc</t>
        </is>
      </c>
      <c r="O51" s="8" t="inlineStr">
        <is>
          <t>Doc columns are heavily merged/garbled but the Opal prize sentence is intact and explicit (x total credits bet). Game title in doc is 'Loaded with Loot - Arabian Fire / Driller'.</t>
        </is>
      </c>
    </row>
    <row r="52">
      <c r="A52" s="7" t="inlineStr">
        <is>
          <t>Eagle Bucks</t>
        </is>
      </c>
      <c r="B52" s="7" t="inlineStr">
        <is>
          <t>no</t>
        </is>
      </c>
      <c r="C52" s="7" t="inlineStr"/>
      <c r="D52" s="7" t="inlineStr">
        <is>
          <t>none</t>
        </is>
      </c>
      <c r="E52" s="7" t="inlineStr"/>
      <c r="F52" s="8" t="inlineStr"/>
      <c r="G52" s="7" t="inlineStr"/>
      <c r="H52" s="7" t="inlineStr">
        <is>
          <t>No</t>
        </is>
      </c>
      <c r="I52" s="7" t="inlineStr">
        <is>
          <t>20</t>
        </is>
      </c>
      <c r="J52" s="8" t="inlineStr">
        <is>
          <t>'Shield' is a scatter. 3 or more scattered 'Shield' randomly triggers either 10 free games or 10 free games with reel 5 held with 'Eagle'.</t>
        </is>
      </c>
      <c r="K52" s="8" t="inlineStr">
        <is>
          <t>none</t>
        </is>
      </c>
      <c r="L52" s="8" t="inlineStr"/>
      <c r="M52" s="7" t="inlineStr">
        <is>
          <t>high</t>
        </is>
      </c>
      <c r="N52" s="7" t="inlineStr">
        <is>
          <t>Eagle Bucks Game.doc</t>
        </is>
      </c>
      <c r="O52" s="8" t="inlineStr">
        <is>
          <t>Shield scatter only triggers free games and pays via paytable; no displayed bet-multiplied prize. Abbreviated doc (no full technical/bet tables).</t>
        </is>
      </c>
    </row>
    <row r="53">
      <c r="A53" s="7" t="inlineStr">
        <is>
          <t>Eagle Dollar</t>
        </is>
      </c>
      <c r="B53" s="7" t="inlineStr">
        <is>
          <t>no</t>
        </is>
      </c>
      <c r="C53" s="7" t="inlineStr"/>
      <c r="D53" s="7" t="inlineStr">
        <is>
          <t>none</t>
        </is>
      </c>
      <c r="E53" s="7" t="inlineStr"/>
      <c r="F53" s="8" t="inlineStr"/>
      <c r="G53" s="7" t="inlineStr">
        <is>
          <t>numLines=20</t>
        </is>
      </c>
      <c r="H53" s="7" t="inlineStr">
        <is>
          <t>No</t>
        </is>
      </c>
      <c r="I53" s="7" t="inlineStr">
        <is>
          <t>20</t>
        </is>
      </c>
      <c r="J53" s="8" t="inlineStr">
        <is>
          <t>'Wheel', 'Wheel2X', 'Wheel3X', 'Wheel4X' and 'Wheel5X' are scatters. Two 'Wheel' symbols trigger the Wheel Feature.</t>
        </is>
      </c>
      <c r="K53" s="8" t="inlineStr">
        <is>
          <t>Wheel2X/3X/4X/5X (x2/x3/x4/x5) applied in the Wheel Feature</t>
        </is>
      </c>
      <c r="L53" s="8" t="inlineStr">
        <is>
          <t>multiplies the wheel prize shown in the winning segment (feature-prize based, not bet-derived in text)</t>
        </is>
      </c>
      <c r="M53" s="7" t="inlineStr">
        <is>
          <t>high</t>
        </is>
      </c>
      <c r="N53" s="7" t="inlineStr">
        <is>
          <t>Eagle Dollar_AGT_RGS_RevA.doc</t>
        </is>
      </c>
      <c r="O53" s="8" t="inlineStr">
        <is>
          <t>Scatter Wheel symbols trigger a wheel; the X symbols multiply the displayed wheel segment prize, not a bet base. No scatter symbol that displays a bet-multiplied credit prize.</t>
        </is>
      </c>
    </row>
    <row r="54">
      <c r="A54" s="7" t="inlineStr">
        <is>
          <t>Eagle Rider</t>
        </is>
      </c>
      <c r="B54" s="7" t="inlineStr">
        <is>
          <t>yes</t>
        </is>
      </c>
      <c r="C54" s="7" t="inlineStr">
        <is>
          <t>DESERT SIGN, MOUNTAIN SIGN, COAST SIGN, JOURNEY COMPLETE SIGN</t>
        </is>
      </c>
      <c r="D54" s="7" t="inlineStr">
        <is>
          <t>total_bet</t>
        </is>
      </c>
      <c r="E54" s="10" t="inlineStr">
        <is>
          <t>TotalBet</t>
        </is>
      </c>
      <c r="F54" s="8" t="inlineStr">
        <is>
          <t>random Prize (e.g. 1,2,3,5 / 2,3,5,8 / 3,5,8,10 / 1,2,3,20) x total bet</t>
        </is>
      </c>
      <c r="G54" s="7" t="inlineStr">
        <is>
          <t>numLines=20</t>
        </is>
      </c>
      <c r="H54" s="7" t="inlineStr">
        <is>
          <t>No</t>
        </is>
      </c>
      <c r="I54" s="7" t="inlineStr">
        <is>
          <t>20</t>
        </is>
      </c>
      <c r="J54" s="8" t="inlineStr">
        <is>
          <t>'DESERT SIGN' symbol appears during the DESERT ROAD stage always with a random Prize of 1, 2, 3 or 5 multiplied by total bet.</t>
        </is>
      </c>
      <c r="K54" s="8" t="inlineStr">
        <is>
          <t>none</t>
        </is>
      </c>
      <c r="L54" s="8" t="inlineStr"/>
      <c r="M54" s="7" t="inlineStr">
        <is>
          <t>high</t>
        </is>
      </c>
      <c r="N54" s="7" t="inlineStr">
        <is>
          <t>Eagle Rider_AGT_RGS_RevA.doc</t>
        </is>
      </c>
      <c r="O54" s="8" t="inlineStr">
        <is>
          <t>Eagle is the trigger scatter (paytable). SIGN symbols in the Highway Feature display a prize x total bet (all four stages state 'multiplied by total bet').</t>
        </is>
      </c>
    </row>
    <row r="55">
      <c r="A55" s="7" t="inlineStr">
        <is>
          <t>ElectricNightsEnergized</t>
        </is>
      </c>
      <c r="B55" s="7" t="inlineStr">
        <is>
          <t>no</t>
        </is>
      </c>
      <c r="C55" s="7" t="inlineStr"/>
      <c r="D55" s="7" t="inlineStr">
        <is>
          <t>none</t>
        </is>
      </c>
      <c r="E55" s="7" t="inlineStr"/>
      <c r="F55" s="8" t="inlineStr"/>
      <c r="G55" s="7" t="inlineStr">
        <is>
          <t>numLines=100 (also 25/50)</t>
        </is>
      </c>
      <c r="H55" s="7" t="inlineStr">
        <is>
          <t>No</t>
        </is>
      </c>
      <c r="I55" s="7" t="inlineStr">
        <is>
          <t>100</t>
        </is>
      </c>
      <c r="J55" s="8" t="inlineStr">
        <is>
          <t>"Electric Nights" is a scatter. During paid games, 3, 4 or 5 scattered "Electric Nights" trigger the "Electric Feature" with 10, 15 or 25 free games respectively.</t>
        </is>
      </c>
      <c r="K55" s="8" t="inlineStr">
        <is>
          <t>none (King Strike Major/Minor/Maxi/Mini bonuses)</t>
        </is>
      </c>
      <c r="L55" s="8" t="inlineStr"/>
      <c r="M55" s="7" t="inlineStr">
        <is>
          <t>high</t>
        </is>
      </c>
      <c r="N55" s="7" t="inlineStr">
        <is>
          <t>Electric Nights Energized.doc</t>
        </is>
      </c>
      <c r="O55" s="8" t="inlineStr">
        <is>
          <t>Scatter only triggers free games and pays via paytable; no bet-multiplied displayed prize.</t>
        </is>
      </c>
    </row>
    <row r="56">
      <c r="A56" s="7" t="inlineStr">
        <is>
          <t>Emerald Dream QS</t>
        </is>
      </c>
      <c r="B56" s="7" t="inlineStr">
        <is>
          <t>no</t>
        </is>
      </c>
      <c r="C56" s="7" t="inlineStr"/>
      <c r="D56" s="7" t="inlineStr">
        <is>
          <t>none</t>
        </is>
      </c>
      <c r="E56" s="7" t="inlineStr"/>
      <c r="F56" s="8" t="inlineStr"/>
      <c r="G56" s="7" t="inlineStr">
        <is>
          <t>numLines=25</t>
        </is>
      </c>
      <c r="H56" s="7" t="inlineStr">
        <is>
          <t>No</t>
        </is>
      </c>
      <c r="I56" s="7" t="inlineStr">
        <is>
          <t>25</t>
        </is>
      </c>
      <c r="J56" s="8" t="inlineStr">
        <is>
          <t>'Emerald' is a scatter. Any 3 or more scatters trigger 8 free games.</t>
        </is>
      </c>
      <c r="K56" s="8" t="inlineStr">
        <is>
          <t>Bonus Wild Feature: 7/8/9 'Bonus Lady' award a Bonus Prize of 10/25/50 x total bet</t>
        </is>
      </c>
      <c r="L56" s="8" t="inlineStr">
        <is>
          <t>Bonus Lady count-based bonus prize is multiplied by the total bet</t>
        </is>
      </c>
      <c r="M56" s="7" t="inlineStr">
        <is>
          <t>medium</t>
        </is>
      </c>
      <c r="N56" s="7" t="inlineStr">
        <is>
          <t>Emerald Dream_AGT_RGS_RevG.DOC</t>
        </is>
      </c>
      <c r="O56" s="8" t="inlineStr">
        <is>
          <t>Emerald scatter is a standard paytable scatter (no displayed prize). 'Bonus Lady' is a wild substitute (not a scatter) whose 7/8/9 count awards a bonus prize x total bet - recorded under other_multipliers.</t>
        </is>
      </c>
    </row>
    <row r="57">
      <c r="A57" s="7" t="inlineStr">
        <is>
          <t>Emperor's Garden</t>
        </is>
      </c>
      <c r="B57" s="7" t="inlineStr">
        <is>
          <t>no</t>
        </is>
      </c>
      <c r="C57" s="7" t="inlineStr"/>
      <c r="D57" s="7" t="inlineStr">
        <is>
          <t>none</t>
        </is>
      </c>
      <c r="E57" s="7" t="inlineStr"/>
      <c r="F57" s="8" t="inlineStr"/>
      <c r="G57" s="7" t="inlineStr">
        <is>
          <t>numLines=40/50/100</t>
        </is>
      </c>
      <c r="H57" s="7" t="inlineStr">
        <is>
          <t>No</t>
        </is>
      </c>
      <c r="I57" s="7" t="inlineStr">
        <is>
          <t>10</t>
        </is>
      </c>
      <c r="J57" s="8" t="inlineStr">
        <is>
          <t>'Jade' is a scatter. 3 or more scattered 'Jade' randomly triggers either 10 free games or 10 free games with reel 5 held with 'Temple'.</t>
        </is>
      </c>
      <c r="K57" s="8" t="inlineStr">
        <is>
          <t>none</t>
        </is>
      </c>
      <c r="L57" s="8" t="inlineStr"/>
      <c r="M57" s="7" t="inlineStr">
        <is>
          <t>high</t>
        </is>
      </c>
      <c r="N57" s="7" t="inlineStr">
        <is>
          <t>Emperor's Garden A560_RGS_Rev A pf1.doc</t>
        </is>
      </c>
      <c r="O57" s="8" t="inlineStr">
        <is>
          <t>Jade scatter triggers free games and pays via paytable; no displayed bet-multiplied prize. Replace Symbol feature has no numeric multiplier.</t>
        </is>
      </c>
    </row>
    <row r="58">
      <c r="A58" s="7" t="inlineStr">
        <is>
          <t>Enchanted Eyes</t>
        </is>
      </c>
      <c r="B58" s="7" t="inlineStr">
        <is>
          <t>yes</t>
        </is>
      </c>
      <c r="C58" s="7" t="inlineStr">
        <is>
          <t>Pyramid/Sun</t>
        </is>
      </c>
      <c r="D58" s="7" t="inlineStr">
        <is>
          <t>total_bet</t>
        </is>
      </c>
      <c r="E58" s="10" t="inlineStr">
        <is>
          <t>TotalBet</t>
        </is>
      </c>
      <c r="F58" s="8" t="inlineStr">
        <is>
          <t>6+ scatters award prize x2 x total bet; Big Hit scatters each award random Prize of 1,2,3,5,10,25,50 x total bet</t>
        </is>
      </c>
      <c r="G58" s="7" t="inlineStr">
        <is>
          <t>numLines=25</t>
        </is>
      </c>
      <c r="H58" s="7" t="inlineStr">
        <is>
          <t>No</t>
        </is>
      </c>
      <c r="I58" s="7" t="inlineStr">
        <is>
          <t>25</t>
        </is>
      </c>
      <c r="J58" s="8" t="inlineStr">
        <is>
          <t>6 or more scatter award a prize multiplied by 2 times the total bet. Each scatter appearing awards a random Prize of 1, 2, 3, 5, 10, 25 or 50 multiplied by total bet as displayed.</t>
        </is>
      </c>
      <c r="K58" s="8" t="inlineStr">
        <is>
          <t>Extra Bonus Big Hit awards prize of 2 x total bet</t>
        </is>
      </c>
      <c r="L58" s="8" t="inlineStr">
        <is>
          <t>also total bet</t>
        </is>
      </c>
      <c r="M58" s="7" t="inlineStr">
        <is>
          <t>high</t>
        </is>
      </c>
      <c r="N58" s="7" t="inlineStr">
        <is>
          <t>EnchantedEyes_AGT_RGS_RevB.doc</t>
        </is>
      </c>
      <c r="O58" s="8" t="inlineStr">
        <is>
          <t>Pyramid scatter both pays a base '6 or more' prize (2 x total bet) and, in the Big Hit / Extra Bonus features, awards displayed prizes x total bet.</t>
        </is>
      </c>
    </row>
    <row r="59">
      <c r="A59" s="7" t="inlineStr">
        <is>
          <t>Eternal Buffalo_UMD</t>
        </is>
      </c>
      <c r="B59" s="7" t="inlineStr">
        <is>
          <t>yes</t>
        </is>
      </c>
      <c r="C59" s="7" t="inlineStr">
        <is>
          <t>Copper/Green/Blue Frame overlays on Animal Scatter barrels (Brown/Green/Blue/Red Barrel)</t>
        </is>
      </c>
      <c r="D59" s="7" t="inlineStr">
        <is>
          <t>bet_per_line</t>
        </is>
      </c>
      <c r="E59" s="11" t="inlineStr">
        <is>
          <t>LineBetFromStaticMultiplier</t>
        </is>
      </c>
      <c r="F59" s="8" t="inlineStr">
        <is>
          <t>frame prize value x (10 x bet per line value); e.g. Copper 1-8, Green 10-25, Blue 30-50</t>
        </is>
      </c>
      <c r="G59" s="7" t="inlineStr">
        <is>
          <t>numLines=20, Total Bet=20 (total bet = 20 x bet per line)</t>
        </is>
      </c>
      <c r="H59" s="7" t="inlineStr">
        <is>
          <t>No</t>
        </is>
      </c>
      <c r="I59" s="7" t="inlineStr">
        <is>
          <t>20</t>
        </is>
      </c>
      <c r="J59" s="8" t="inlineStr">
        <is>
          <t>At the end of the feature, COPPER FRAME randomly reveals prizes of 1, 2, 3, 4, 5, 6, or 8 multiplied by 10 times of the bet per line value. At the end of the feature, GREEN FRAME randomly reveals prizes of 10, 12, 15, 18, 20, 22, or 25 multiplied by 10 times of the bet per line value.</t>
        </is>
      </c>
      <c r="K59" s="8" t="inlineStr">
        <is>
          <t>Red Frame reveals MINI/MINOR/MAXI/MAJOR/GRAND fixed bonus prizes</t>
        </is>
      </c>
      <c r="L59" s="8" t="inlineStr">
        <is>
          <t>fixed bonus/jackpot values</t>
        </is>
      </c>
      <c r="M59" s="7" t="inlineStr">
        <is>
          <t>high</t>
        </is>
      </c>
      <c r="N59" s="7" t="inlineStr">
        <is>
          <t>Eternal Buffalo_RevA.doc</t>
        </is>
      </c>
      <c r="O59" s="8" t="inlineStr">
        <is>
          <t>Doc title is 'Wild West Bandits'. Frame prizes are explicitly 'x 10 times of the bet per line value' -&gt; bet-per-line base with a 10x factor. numLines=20 equals Total Bet 20, so no separate static multiplier.</t>
        </is>
      </c>
    </row>
    <row r="60">
      <c r="A60" s="7" t="inlineStr">
        <is>
          <t>FaCai Lightning</t>
        </is>
      </c>
      <c r="B60" s="7" t="inlineStr">
        <is>
          <t>yes</t>
        </is>
      </c>
      <c r="C60" s="7" t="inlineStr">
        <is>
          <t>Coin (Gold Coin, Orange Coin)</t>
        </is>
      </c>
      <c r="D60" s="7" t="inlineStr">
        <is>
          <t>static_multiplier</t>
        </is>
      </c>
      <c r="E60" s="11" t="inlineStr">
        <is>
          <t>LineBetFromStaticMultiplier</t>
        </is>
      </c>
      <c r="F60" s="8" t="inlineStr">
        <is>
          <t>prize value (1..25) x 50 x bet per line; numLines=50, static=75 -&gt; = total_bet*50/75</t>
        </is>
      </c>
      <c r="G60" s="7" t="inlineStr">
        <is>
          <t>numLines=50, static bet multiplier=75 (Total Bet=75)</t>
        </is>
      </c>
      <c r="H60" s="7" t="inlineStr">
        <is>
          <t>No</t>
        </is>
      </c>
      <c r="I60" s="7" t="inlineStr">
        <is>
          <t>50</t>
        </is>
      </c>
      <c r="J60" s="8" t="inlineStr">
        <is>
          <t>All available bet options are multiplied by static multiplier '75'. Coin symbols always appear on screen with a random Prize of 1, 2, 3, 5, 8, 12, 15, 20 or 25 multiplied by 50 times of the bet per line value, OR MAXI or MINI, as displayed.</t>
        </is>
      </c>
      <c r="K60" s="8" t="inlineStr">
        <is>
          <t>Rings of Fortune Hold'nSpin FrameX2/X3/X5 multiply the displayed coin prize by 2/3/5</t>
        </is>
      </c>
      <c r="L60" s="8" t="inlineStr">
        <is>
          <t>multiplies the displayed coin prize (prize-based)</t>
        </is>
      </c>
      <c r="M60" s="7" t="inlineStr">
        <is>
          <t>high</t>
        </is>
      </c>
      <c r="N60" s="7" t="inlineStr">
        <is>
          <t>MustangMoneyRingsOfFortune_RevA.doc</t>
        </is>
      </c>
      <c r="O60" s="8" t="inlineStr">
        <is>
          <t>Doc title 'MustangMoney RingsOfFortune'. Static multiplier 75 stated explicitly; coin prize is 50 x bet per line = total_bet*50/75. Grand/Maxi/Mini are fixed bonus values.</t>
        </is>
      </c>
    </row>
    <row r="61">
      <c r="A61" s="7" t="inlineStr">
        <is>
          <t>FirePowerFever</t>
        </is>
      </c>
      <c r="B61" s="7" t="inlineStr">
        <is>
          <t>no</t>
        </is>
      </c>
      <c r="C61" s="7" t="inlineStr"/>
      <c r="D61" s="7" t="inlineStr">
        <is>
          <t>none</t>
        </is>
      </c>
      <c r="E61" s="7" t="inlineStr"/>
      <c r="F61" s="8" t="inlineStr"/>
      <c r="G61" s="7" t="inlineStr">
        <is>
          <t>243 ways (single Bet value, no lines)</t>
        </is>
      </c>
      <c r="H61" s="7" t="inlineStr">
        <is>
          <t>No</t>
        </is>
      </c>
      <c r="I61" s="7" t="inlineStr"/>
      <c r="J61" s="8" t="inlineStr">
        <is>
          <t>'Yin Yang' is a scatter. It pays in any position. Any 3 or more scatters trigger Free Games Feature.</t>
        </is>
      </c>
      <c r="K61" s="8" t="inlineStr">
        <is>
          <t>Dragon Multiplier (up to x10) in free games; Multiplier +1 increments it</t>
        </is>
      </c>
      <c r="L61" s="8" t="inlineStr">
        <is>
          <t>multiplies all wins where 'Dragon Multiplier' substitutes (win-based)</t>
        </is>
      </c>
      <c r="M61" s="7" t="inlineStr">
        <is>
          <t>high</t>
        </is>
      </c>
      <c r="N61" s="7" t="inlineStr">
        <is>
          <t>Fire Power Fever_OnlineBpf2_RevC.DOC</t>
        </is>
      </c>
      <c r="O61" s="8" t="inlineStr">
        <is>
          <t>Yin Yang scatter pays via paytable and triggers free games. Dragon Multiplier is a wild-substitute win multiplier. 243-ways game; Major/Minor bonuses are fixed values.</t>
        </is>
      </c>
    </row>
    <row r="62">
      <c r="A62" s="7" t="inlineStr">
        <is>
          <t>FlamesofGlory</t>
        </is>
      </c>
      <c r="B62" s="7" t="inlineStr">
        <is>
          <t>yes</t>
        </is>
      </c>
      <c r="C62" s="7" t="inlineStr">
        <is>
          <t>Golden Orb, Grand Orb, Major Orb, Minor Orb, Mini Orb (Ball symbols)</t>
        </is>
      </c>
      <c r="D62" s="7" t="inlineStr">
        <is>
          <t>total_bet</t>
        </is>
      </c>
      <c r="E62" s="10" t="inlineStr">
        <is>
          <t>TotalBet</t>
        </is>
      </c>
      <c r="F62" s="8" t="inlineStr">
        <is>
          <t>random Prize of 1,2,3,4,5,10,15,20,50,100 x total bet</t>
        </is>
      </c>
      <c r="G62" s="7" t="inlineStr">
        <is>
          <t>243-32768 ways</t>
        </is>
      </c>
      <c r="H62" s="7" t="inlineStr">
        <is>
          <t>No</t>
        </is>
      </c>
      <c r="I62" s="7" t="inlineStr"/>
      <c r="J62" s="8" t="inlineStr">
        <is>
          <t>[Golden Orb],[Grand Orb],[Major Orb],[Minor Orb] and [Mini Orb] symbols always appear on screen with a random Prize of 1,2,3,4,5,10,15,20,50 and 100 multiplied by total bet as displayed.</t>
        </is>
      </c>
      <c r="K62" s="8" t="inlineStr">
        <is>
          <t>Golden Spins [Upgrade] modifier upgrades prize to next level; Grand/Major/Minor/Mini collect bonuses</t>
        </is>
      </c>
      <c r="L62" s="8" t="inlineStr">
        <is>
          <t>Upgrade steps the displayed Orb prize up a level (prize-based); collect bonuses are fixed values</t>
        </is>
      </c>
      <c r="M62" s="7" t="inlineStr">
        <is>
          <t>high</t>
        </is>
      </c>
      <c r="N62" s="7" t="inlineStr">
        <is>
          <t>FlamesOfGlory.doc</t>
        </is>
      </c>
      <c r="O62" s="8" t="inlineStr">
        <is>
          <t>Mustang Money clone. Orb/Ball symbols are scatters displaying a prize x total bet. Ways game (Total Bet used directly).</t>
        </is>
      </c>
    </row>
    <row r="63">
      <c r="A63" s="7" t="inlineStr">
        <is>
          <t>Flash Cash</t>
        </is>
      </c>
      <c r="B63" s="7" t="inlineStr">
        <is>
          <t>no</t>
        </is>
      </c>
      <c r="C63" s="7" t="inlineStr"/>
      <c r="D63" s="7" t="inlineStr">
        <is>
          <t>none</t>
        </is>
      </c>
      <c r="E63" s="7" t="inlineStr"/>
      <c r="F63" s="8" t="inlineStr"/>
      <c r="G63" s="7" t="inlineStr">
        <is>
          <t>numLines=30</t>
        </is>
      </c>
      <c r="H63" s="7" t="inlineStr">
        <is>
          <t>No</t>
        </is>
      </c>
      <c r="I63" s="7" t="inlineStr">
        <is>
          <t>30</t>
        </is>
      </c>
      <c r="J63" s="8" t="inlineStr">
        <is>
          <t>'Trophy' is a scatter. 10 free games are triggered by any 3 or more scattered 'Trophy'.</t>
        </is>
      </c>
      <c r="K63" s="8" t="inlineStr">
        <is>
          <t>free-games bonus-reel x2/x3/x5 (all wins multiplied)</t>
        </is>
      </c>
      <c r="L63" s="8" t="inlineStr">
        <is>
          <t>multiplies all wins for that free game (win-based)</t>
        </is>
      </c>
      <c r="M63" s="7" t="inlineStr">
        <is>
          <t>high</t>
        </is>
      </c>
      <c r="N63" s="7" t="inlineStr">
        <is>
          <t>Flash Cash AGT_RGS_Rev C.doc</t>
        </is>
      </c>
      <c r="O63" s="8" t="inlineStr">
        <is>
          <t>Trophy scatter pays via paytable and triggers free games. x2/x3/x5 appear on a bonus reel in free games multiplying all wins.</t>
        </is>
      </c>
    </row>
    <row r="64">
      <c r="A64" s="7" t="inlineStr">
        <is>
          <t>Flying Dragon</t>
        </is>
      </c>
      <c r="B64" s="7" t="inlineStr">
        <is>
          <t>no</t>
        </is>
      </c>
      <c r="C64" s="7" t="inlineStr"/>
      <c r="D64" s="7" t="inlineStr">
        <is>
          <t>none</t>
        </is>
      </c>
      <c r="E64" s="7" t="inlineStr"/>
      <c r="F64" s="8" t="inlineStr"/>
      <c r="G64" s="7" t="inlineStr">
        <is>
          <t>numLines=50/100</t>
        </is>
      </c>
      <c r="H64" s="7" t="inlineStr">
        <is>
          <t>No</t>
        </is>
      </c>
      <c r="I64" s="7" t="inlineStr">
        <is>
          <t>100</t>
        </is>
      </c>
      <c r="J64" s="8" t="inlineStr">
        <is>
          <t>'Dragon' is a scatter. 10 free games are triggered by any 3 or more scattered 'Dragon'.</t>
        </is>
      </c>
      <c r="K64" s="8" t="inlineStr">
        <is>
          <t>Silver Star / Gold Star substitute x2; Super Choice x2/x3/x5; Ultimate Choice x5/x8/x10</t>
        </is>
      </c>
      <c r="L64" s="8" t="inlineStr">
        <is>
          <t>multiply the win when the star substitutes (win-based)</t>
        </is>
      </c>
      <c r="M64" s="7" t="inlineStr">
        <is>
          <t>high</t>
        </is>
      </c>
      <c r="N64" s="7" t="inlineStr">
        <is>
          <t>Flying Dragon AGT_RGS_Rev B pf1.doc</t>
        </is>
      </c>
      <c r="O64" s="8" t="inlineStr">
        <is>
          <t>Dragon scatter pays via paytable and triggers free games. Star substitutes and Choice features multiply line wins, not a bet base.</t>
        </is>
      </c>
    </row>
    <row r="65">
      <c r="A65" s="7" t="inlineStr">
        <is>
          <t>Flying Horse</t>
        </is>
      </c>
      <c r="B65" s="7" t="inlineStr">
        <is>
          <t>no</t>
        </is>
      </c>
      <c r="C65" s="7" t="inlineStr"/>
      <c r="D65" s="7" t="inlineStr">
        <is>
          <t>none</t>
        </is>
      </c>
      <c r="E65" s="7" t="inlineStr"/>
      <c r="F65" s="8" t="inlineStr"/>
      <c r="G65" s="7" t="inlineStr">
        <is>
          <t>numLines=100</t>
        </is>
      </c>
      <c r="H65" s="7" t="inlineStr">
        <is>
          <t>No</t>
        </is>
      </c>
      <c r="I65" s="7" t="inlineStr">
        <is>
          <t>100</t>
        </is>
      </c>
      <c r="J65" s="8" t="inlineStr">
        <is>
          <t>'Flying Horse' and 'Wild Flying Horse' are scatters. 8 free games are triggered by any 3 or more scatters.</t>
        </is>
      </c>
      <c r="K65" s="8" t="inlineStr">
        <is>
          <t>none (Horse feature transforms symbols to Wild; no numeric multiplier)</t>
        </is>
      </c>
      <c r="L65" s="8" t="inlineStr"/>
      <c r="M65" s="7" t="inlineStr">
        <is>
          <t>high</t>
        </is>
      </c>
      <c r="N65" s="7" t="inlineStr">
        <is>
          <t>Flying Horse AGT_RGS_Rev E.doc</t>
        </is>
      </c>
      <c r="O65" s="8" t="inlineStr">
        <is>
          <t>Scatters pay via paytable and trigger free games; features convert symbols to wilds with no bet-multiplied displayed prize.</t>
        </is>
      </c>
    </row>
    <row r="66">
      <c r="A66" s="7" t="inlineStr">
        <is>
          <t>Fortune Falcon</t>
        </is>
      </c>
      <c r="B66" s="7" t="inlineStr">
        <is>
          <t>no</t>
        </is>
      </c>
      <c r="C66" s="7" t="inlineStr"/>
      <c r="D66" s="7" t="inlineStr">
        <is>
          <t>none</t>
        </is>
      </c>
      <c r="E66" s="7" t="inlineStr"/>
      <c r="F66" s="8" t="inlineStr"/>
      <c r="G66" s="7" t="inlineStr">
        <is>
          <t>numLines=30</t>
        </is>
      </c>
      <c r="H66" s="7" t="inlineStr">
        <is>
          <t>No</t>
        </is>
      </c>
      <c r="I66" s="7" t="inlineStr">
        <is>
          <t>30</t>
        </is>
      </c>
      <c r="J66" s="8" t="inlineStr">
        <is>
          <t>'Palace' is a scatter. 10 free games are triggered by any 3 scattered 'Palace'.</t>
        </is>
      </c>
      <c r="K66" s="8" t="inlineStr">
        <is>
          <t>free-games 'Coin' substitute: reel 2 prize x1/x2, reel 4 prize x1/x5 (multiplied by every Coin as displayed)</t>
        </is>
      </c>
      <c r="L66" s="8" t="inlineStr">
        <is>
          <t>multiplies the winning combination prize where Coin substitutes (win-based)</t>
        </is>
      </c>
      <c r="M66" s="7" t="inlineStr">
        <is>
          <t>high</t>
        </is>
      </c>
      <c r="N66" s="7" t="inlineStr">
        <is>
          <t>Fortune Falcon AGT_RGS_Rev H pf1.doc</t>
        </is>
      </c>
      <c r="O66" s="8" t="inlineStr">
        <is>
          <t>Palace scatter pays via paytable and triggers free games. Coin is a wild-substitute win multiplier (x1/x2/x5), not a bet-multiplied displayed prize.</t>
        </is>
      </c>
    </row>
    <row r="67">
      <c r="A67" s="7" t="inlineStr">
        <is>
          <t>Galaxy Gold CashstackGold</t>
        </is>
      </c>
      <c r="B67" s="7" t="inlineStr">
        <is>
          <t>yes</t>
        </is>
      </c>
      <c r="C67" s="7" t="inlineStr">
        <is>
          <t>moon, bonus</t>
        </is>
      </c>
      <c r="D67" s="7" t="inlineStr">
        <is>
          <t>total_bet</t>
        </is>
      </c>
      <c r="E67" s="10" t="inlineStr">
        <is>
          <t>TotalBet</t>
        </is>
      </c>
      <c r="F67" s="8" t="inlineStr">
        <is>
          <t>moon: prize 1,2,3,5,8,10,20,25,50 x total bet; bonus: prize 3,5,8,10,20,25,50,100,200 x total bet</t>
        </is>
      </c>
      <c r="G67" s="7" t="inlineStr">
        <is>
          <t>numLines=50</t>
        </is>
      </c>
      <c r="H67" s="7" t="inlineStr">
        <is>
          <t>No</t>
        </is>
      </c>
      <c r="I67" s="7" t="inlineStr">
        <is>
          <t>50</t>
        </is>
      </c>
      <c r="J67" s="8" t="inlineStr">
        <is>
          <t>'moon' symbol always appears on screen with a random Prize of 1,2,3,5,8,10,20,25 or 50 multiplied by total bet as displayed during the paid games, 'HoldnStack feature' and 'Galaxy Gold Feature'. 'bonus' always appears on screen with a random prize of 3,5,8,10,20,25,50,100 or 200 multiplied by total bet or 'mini' or 'minor' as displayed, during paid games only.</t>
        </is>
      </c>
      <c r="K67" s="8" t="inlineStr">
        <is>
          <t>Hold'n'Stack stack prizes escalate x2..x100 of total bet (capped per pool); major/grand bonuses</t>
        </is>
      </c>
      <c r="L67" s="8" t="inlineStr">
        <is>
          <t>stack prize caps are multiples of total bet; major/grand are fixed bonus values</t>
        </is>
      </c>
      <c r="M67" s="7" t="inlineStr">
        <is>
          <t>high</t>
        </is>
      </c>
      <c r="N67" s="7" t="inlineStr">
        <is>
          <t>GalaxyGoldCashstackGold_AGT_RGS_RevA.doc</t>
        </is>
      </c>
      <c r="O67" s="8" t="inlineStr">
        <is>
          <t>moon and bonus scatters display prizes x total bet. Stack prizes in Hold'n'Stack are also expressed as multiples of total bet.</t>
        </is>
      </c>
    </row>
    <row r="68">
      <c r="A68" s="7" t="inlineStr">
        <is>
          <t>GizaGoddess RingsOfFortune_LHF</t>
        </is>
      </c>
      <c r="B68" s="7" t="inlineStr">
        <is>
          <t>yes</t>
        </is>
      </c>
      <c r="C68" s="7" t="inlineStr">
        <is>
          <t>Coin, Gold Coin</t>
        </is>
      </c>
      <c r="D68" s="7" t="inlineStr">
        <is>
          <t>bet_per_line</t>
        </is>
      </c>
      <c r="E68" s="11" t="inlineStr">
        <is>
          <t>LineBetFromStaticMultiplier</t>
        </is>
      </c>
      <c r="F68" s="8" t="inlineStr">
        <is>
          <t>random prize of 1,2,3,5,8,12,15,20,25 x (10 x bet per line value)</t>
        </is>
      </c>
      <c r="G68" s="7" t="inlineStr">
        <is>
          <t>numLines=20, Total Bet=20 (total bet = 20 x bet per line)</t>
        </is>
      </c>
      <c r="H68" s="7" t="inlineStr">
        <is>
          <t>No</t>
        </is>
      </c>
      <c r="I68" s="7" t="inlineStr">
        <is>
          <t>20</t>
        </is>
      </c>
      <c r="J68" s="8" t="inlineStr">
        <is>
          <t>Coin symbols always appear on screen with a random prize of 1, 2, 3, 5, 8, 12, 15, 20 or 25 multiplied by 10 times the bet per line value, OR MAXI or MINI, as displayed.</t>
        </is>
      </c>
      <c r="K68" s="8" t="inlineStr">
        <is>
          <t>Rings of Fortune Hold'nSpin FrameX2/X3/X5 multiply the displayed coin prize by 2/3/5</t>
        </is>
      </c>
      <c r="L68" s="8" t="inlineStr">
        <is>
          <t>multiplies the displayed coin prize (prize-based)</t>
        </is>
      </c>
      <c r="M68" s="7" t="inlineStr">
        <is>
          <t>high</t>
        </is>
      </c>
      <c r="N68" s="7" t="inlineStr">
        <is>
          <t>GizaGoddessRingsOfFortune_RevA.doc</t>
        </is>
      </c>
      <c r="O68" s="8" t="inlineStr">
        <is>
          <t>Coin prize is explicitly '10 times the bet per line value' -&gt; bet-per-line base with 10x factor. Unlike sister game FaCai, no separate 'static multiplier' is stated; Lines=20 equals Total Bet=20. RTP shown as placeholder 'RTP'.</t>
        </is>
      </c>
    </row>
    <row r="69">
      <c r="A69" s="7" t="inlineStr">
        <is>
          <t>Glitter Diamonds</t>
        </is>
      </c>
      <c r="B69" s="7" t="inlineStr">
        <is>
          <t>no</t>
        </is>
      </c>
      <c r="C69" s="7" t="inlineStr"/>
      <c r="D69" s="7" t="inlineStr">
        <is>
          <t>none</t>
        </is>
      </c>
      <c r="E69" s="7" t="inlineStr"/>
      <c r="F69" s="8" t="inlineStr"/>
      <c r="G69" s="7" t="inlineStr">
        <is>
          <t>numLines=100</t>
        </is>
      </c>
      <c r="H69" s="7" t="inlineStr">
        <is>
          <t>No</t>
        </is>
      </c>
      <c r="I69" s="7" t="inlineStr">
        <is>
          <t>100</t>
        </is>
      </c>
      <c r="J69" s="8" t="inlineStr">
        <is>
          <t>'Yellow Diamond' is a scatter. 10 free games are triggered by any 3 or more scattered 'Yellow Diamond'.</t>
        </is>
      </c>
      <c r="K69" s="8" t="inlineStr">
        <is>
          <t>none</t>
        </is>
      </c>
      <c r="L69" s="8" t="inlineStr"/>
      <c r="M69" s="7" t="inlineStr">
        <is>
          <t>high</t>
        </is>
      </c>
      <c r="N69" s="7" t="inlineStr">
        <is>
          <t>Glitter_Diamonds_AGT_RGS_Rev_A.doc</t>
        </is>
      </c>
      <c r="O69" s="8" t="inlineStr">
        <is>
          <t>Yellow Diamond scatter pays via paytable and triggers free games; no displayed bet-multiplied prize and no numeric win multiplier.</t>
        </is>
      </c>
    </row>
    <row r="70">
      <c r="A70" s="7" t="inlineStr">
        <is>
          <t>Glitter Gems</t>
        </is>
      </c>
      <c r="B70" s="7" t="inlineStr">
        <is>
          <t>no</t>
        </is>
      </c>
      <c r="C70" s="7" t="inlineStr"/>
      <c r="D70" s="7" t="inlineStr">
        <is>
          <t>none</t>
        </is>
      </c>
      <c r="E70" s="7" t="inlineStr"/>
      <c r="F70" s="8" t="inlineStr"/>
      <c r="G70" s="7" t="inlineStr">
        <is>
          <t>numLines up to 30</t>
        </is>
      </c>
      <c r="H70" s="7" t="inlineStr">
        <is>
          <t>No</t>
        </is>
      </c>
      <c r="I70" s="7" t="inlineStr">
        <is>
          <t>30</t>
        </is>
      </c>
      <c r="J70" s="8" t="inlineStr">
        <is>
          <t>'Blue Diamond' is a scatter. Scatters pay in any position. 8 free games are triggered by any 3 or more scattered 'Blue Diamond'.</t>
        </is>
      </c>
      <c r="K70" s="8" t="inlineStr">
        <is>
          <t>During Free Games, one or more 'Glitter Gems' (wild) substituting DOUBLES (x2) the prize</t>
        </is>
      </c>
      <c r="L70" s="8" t="inlineStr">
        <is>
          <t>multiplies the line win (win-based)</t>
        </is>
      </c>
      <c r="M70" s="7" t="inlineStr">
        <is>
          <t>high</t>
        </is>
      </c>
      <c r="N70" s="7" t="inlineStr">
        <is>
          <t>Glitter Gems AGT_RGS_Rev B.doc</t>
        </is>
      </c>
      <c r="O70" s="8" t="inlineStr">
        <is>
          <t>Blue Diamond scatter triggers free games and pays via paytable; no bet-multiplied coin/prize scatter.</t>
        </is>
      </c>
    </row>
    <row r="71">
      <c r="A71" s="7" t="inlineStr">
        <is>
          <t>Golden Dollars</t>
        </is>
      </c>
      <c r="B71" s="7" t="inlineStr">
        <is>
          <t>yes</t>
        </is>
      </c>
      <c r="C71" s="7" t="inlineStr">
        <is>
          <t>Diamond (Golden Prize scatter)</t>
        </is>
      </c>
      <c r="D71" s="7" t="inlineStr">
        <is>
          <t>total_bet</t>
        </is>
      </c>
      <c r="E71" s="10" t="inlineStr">
        <is>
          <t>TotalBet</t>
        </is>
      </c>
      <c r="F71" s="8" t="inlineStr">
        <is>
          <t>random Golden Prize of 1,2,3,5,10,25,50 x total bet</t>
        </is>
      </c>
      <c r="G71" s="7" t="inlineStr">
        <is>
          <t>numLines=25</t>
        </is>
      </c>
      <c r="H71" s="7" t="inlineStr">
        <is>
          <t>No</t>
        </is>
      </c>
      <c r="I71" s="7" t="inlineStr">
        <is>
          <t>25</t>
        </is>
      </c>
      <c r="J71" s="8" t="inlineStr">
        <is>
          <t>'Diamond' always appears on screen with a random Golden Prize of 1, 2, 3, 5, 10, 25 or 50 multiplied by total bet as displayed.</t>
        </is>
      </c>
      <c r="K71" s="8" t="inlineStr">
        <is>
          <t>Free Games: BIG 'Dollar x2'/'Coin x2' doubles win, BIG 'Dollar x3'/'Coin x3' triples win</t>
        </is>
      </c>
      <c r="L71" s="8" t="inlineStr">
        <is>
          <t>multiplies the line win (win-based)</t>
        </is>
      </c>
      <c r="M71" s="7" t="inlineStr">
        <is>
          <t>high</t>
        </is>
      </c>
      <c r="N71" s="7" t="inlineStr">
        <is>
          <t>GoldenDollars _AGT_RGS_RevB.doc</t>
        </is>
      </c>
      <c r="O71" s="8" t="inlineStr">
        <is>
          <t>Golden Cash feature Golden Prizes are also x total bet as displayed.</t>
        </is>
      </c>
    </row>
    <row r="72">
      <c r="A72" s="7" t="inlineStr">
        <is>
          <t>Golden Ox</t>
        </is>
      </c>
      <c r="B72" s="7" t="inlineStr">
        <is>
          <t>yes</t>
        </is>
      </c>
      <c r="C72" s="7" t="inlineStr">
        <is>
          <t>Golden Ox (Golden Prize scatter)</t>
        </is>
      </c>
      <c r="D72" s="7" t="inlineStr">
        <is>
          <t>total_bet</t>
        </is>
      </c>
      <c r="E72" s="10" t="inlineStr">
        <is>
          <t>TotalBet</t>
        </is>
      </c>
      <c r="F72" s="8" t="inlineStr">
        <is>
          <t>random Golden Prize of 1,2,3,5,10,25,50 x total bet</t>
        </is>
      </c>
      <c r="G72" s="7" t="inlineStr">
        <is>
          <t>numLines=25</t>
        </is>
      </c>
      <c r="H72" s="7" t="inlineStr">
        <is>
          <t>No</t>
        </is>
      </c>
      <c r="I72" s="7" t="inlineStr">
        <is>
          <t>25</t>
        </is>
      </c>
      <c r="J72" s="8" t="inlineStr">
        <is>
          <t>Each ' Golden Ox' appearing awards a random Golden Prize of 1, 2, 3, 5, 10, 25 or 50 multiplied by total bet as displayed.</t>
        </is>
      </c>
      <c r="K72" s="8" t="inlineStr">
        <is>
          <t>none (Fortune / Fortune Bonus are wilds; Fortune Bonus awards bonuses)</t>
        </is>
      </c>
      <c r="L72" s="8" t="inlineStr"/>
      <c r="M72" s="7" t="inlineStr">
        <is>
          <t>high</t>
        </is>
      </c>
      <c r="N72" s="7" t="inlineStr">
        <is>
          <t>GoldenOx _AGT_RGS_RevC.doc</t>
        </is>
      </c>
      <c r="O72" s="8" t="inlineStr">
        <is>
          <t>6+ Golden Ox win all Golden Prizes displayed; base is total bet.</t>
        </is>
      </c>
    </row>
    <row r="73">
      <c r="A73" s="7" t="inlineStr">
        <is>
          <t>Golden Wisdom</t>
        </is>
      </c>
      <c r="B73" s="7" t="inlineStr">
        <is>
          <t>yes</t>
        </is>
      </c>
      <c r="C73" s="7" t="inlineStr">
        <is>
          <t>Golden Peach (Golden Prize scatter)</t>
        </is>
      </c>
      <c r="D73" s="7" t="inlineStr">
        <is>
          <t>total_bet</t>
        </is>
      </c>
      <c r="E73" s="10" t="inlineStr">
        <is>
          <t>TotalBet</t>
        </is>
      </c>
      <c r="F73" s="8" t="inlineStr">
        <is>
          <t>random Golden Prize of 1,2,3,5,10,25,50 x total bet</t>
        </is>
      </c>
      <c r="G73" s="7" t="inlineStr">
        <is>
          <t>numLines=25</t>
        </is>
      </c>
      <c r="H73" s="7" t="inlineStr">
        <is>
          <t>No</t>
        </is>
      </c>
      <c r="I73" s="7" t="inlineStr">
        <is>
          <t>25</t>
        </is>
      </c>
      <c r="J73" s="8" t="inlineStr">
        <is>
          <t>Each additional ' Golden Peach' appearing awards a random Golden Prize of 1, 2, 3, 5, 10, 25 or 50 multiplied by total bet as displayed.</t>
        </is>
      </c>
      <c r="K73" s="8" t="inlineStr">
        <is>
          <t>Free Games: every 'Dragon x2' that substitutes in a win doubles the pay</t>
        </is>
      </c>
      <c r="L73" s="8" t="inlineStr">
        <is>
          <t>multiplies the line win (win-based)</t>
        </is>
      </c>
      <c r="M73" s="7" t="inlineStr">
        <is>
          <t>high</t>
        </is>
      </c>
      <c r="N73" s="7" t="inlineStr">
        <is>
          <t>Golden Wisdom_AGT_RGS_RevB.doc</t>
        </is>
      </c>
      <c r="O73" s="8" t="inlineStr"/>
    </row>
    <row r="74">
      <c r="A74" s="7" t="inlineStr">
        <is>
          <t>Golden Yang (MoneyUp)</t>
        </is>
      </c>
      <c r="B74" s="7" t="inlineStr">
        <is>
          <t>no</t>
        </is>
      </c>
      <c r="C74" s="7" t="inlineStr"/>
      <c r="D74" s="7" t="inlineStr">
        <is>
          <t>none</t>
        </is>
      </c>
      <c r="E74" s="7" t="inlineStr"/>
      <c r="F74" s="8" t="inlineStr"/>
      <c r="G74" s="7" t="inlineStr">
        <is>
          <t>numLines=50 or 100</t>
        </is>
      </c>
      <c r="H74" s="7" t="inlineStr">
        <is>
          <t>No</t>
        </is>
      </c>
      <c r="I74" s="7" t="inlineStr">
        <is>
          <t>50</t>
        </is>
      </c>
      <c r="J74" s="8" t="inlineStr">
        <is>
          <t>The initial Ladder Prizes on the top of each reel are 1, 2, 3, 4, 5, 10 and 15 multiplied by the total bet. The Ladder Prizes are then multiplied by the sum of the Arrow X1, Arrow X2 and Arrow X3 from the corresponding reel.</t>
        </is>
      </c>
      <c r="K74" s="8" t="inlineStr">
        <is>
          <t>Money Up Feature ladder prizes = 1-15 x total bet, then multiplied by sum of Arrow X1/X2/X3 on that reel</t>
        </is>
      </c>
      <c r="L74" s="8" t="inlineStr">
        <is>
          <t>feature ladder prize: base = total bet, then x number/sum of arrows</t>
        </is>
      </c>
      <c r="M74" s="7" t="inlineStr">
        <is>
          <t>medium</t>
        </is>
      </c>
      <c r="N74" s="7" t="inlineStr">
        <is>
          <t>Golden Yang_AGT_RGS_RevA.docx</t>
        </is>
      </c>
      <c r="O74" s="8" t="inlineStr">
        <is>
          <t>Golden Yin Yang scatter triggers free games and pays paytable; no per-symbol displayed coin prize. Money Up ladder is a feature multiplier with total-bet base (arrows are scatters that scale the ladder), not a classic scatter coin prize.</t>
        </is>
      </c>
    </row>
    <row r="75">
      <c r="A75" s="7" t="inlineStr">
        <is>
          <t>GoldenPhoenix RingsOfFortune</t>
        </is>
      </c>
      <c r="B75" s="7" t="inlineStr">
        <is>
          <t>yes</t>
        </is>
      </c>
      <c r="C75" s="7" t="inlineStr">
        <is>
          <t>Gold Coin / Orange Coin (Coin symbols)</t>
        </is>
      </c>
      <c r="D75" s="7" t="inlineStr">
        <is>
          <t>static_multiplier</t>
        </is>
      </c>
      <c r="E75" s="11" t="inlineStr">
        <is>
          <t>LineBetFromStaticMultiplier</t>
        </is>
      </c>
      <c r="F75" s="8" t="inlineStr">
        <is>
          <t>Coin prize = shown(1-25) x 20 x bet value; static multiplier=30, numLines=20 -&gt; base = total_bet*20/30</t>
        </is>
      </c>
      <c r="G75" s="7" t="inlineStr">
        <is>
          <t>numLines=20, static multiplier=30, Total Bet=30</t>
        </is>
      </c>
      <c r="H75" s="7" t="inlineStr">
        <is>
          <t>No</t>
        </is>
      </c>
      <c r="I75" s="7" t="inlineStr">
        <is>
          <t>20</t>
        </is>
      </c>
      <c r="J75" s="8" t="inlineStr">
        <is>
          <t>All available bet options are multiplied by static multiplier '30'. ... Coin symbols always appear on screen with a random Prize of 1, 2, 3, 5, 8, 12, 15, 20 or 25 multiplied by 20 times of the bet value, OR MAXI or MINI, as displayed.</t>
        </is>
      </c>
      <c r="K75" s="8" t="inlineStr">
        <is>
          <t>RINGS OF FORTUNE HOLD'nSPIN: FrameX2/FrameX3/FrameX5 multiply the displayed coin prize by 2/3/5</t>
        </is>
      </c>
      <c r="L75" s="8" t="inlineStr">
        <is>
          <t>multiplies the displayed coin prize (prize-based)</t>
        </is>
      </c>
      <c r="M75" s="7" t="inlineStr">
        <is>
          <t>high</t>
        </is>
      </c>
      <c r="N75" s="7" t="inlineStr">
        <is>
          <t>GoldenPhoenixRingsOfFortune_RevA.doc</t>
        </is>
      </c>
      <c r="O75" s="8" t="inlineStr">
        <is>
          <t>Static-multiplier ratio case: prize is 20x bet value while all bet options are scaled by static 30.</t>
        </is>
      </c>
    </row>
    <row r="76">
      <c r="A76" s="7" t="inlineStr">
        <is>
          <t>Grand Bazaar</t>
        </is>
      </c>
      <c r="B76" s="7" t="inlineStr">
        <is>
          <t>no</t>
        </is>
      </c>
      <c r="C76" s="7" t="inlineStr"/>
      <c r="D76" s="7" t="inlineStr">
        <is>
          <t>none</t>
        </is>
      </c>
      <c r="E76" s="7" t="inlineStr"/>
      <c r="F76" s="8" t="inlineStr"/>
      <c r="G76" s="7" t="inlineStr">
        <is>
          <t>numLines up to 100</t>
        </is>
      </c>
      <c r="H76" s="7" t="inlineStr">
        <is>
          <t>No</t>
        </is>
      </c>
      <c r="I76" s="7" t="inlineStr">
        <is>
          <t>100</t>
        </is>
      </c>
      <c r="J76" s="8" t="inlineStr">
        <is>
          <t>'Hands' is a scatter. Scatters pay in any position. 8 free games are triggered by any 3 or more scattered 'Hands'.</t>
        </is>
      </c>
      <c r="K76" s="8" t="inlineStr">
        <is>
          <t>Free Games: Grand Bazaar Multiplier x1/x2/x3 appears when 'Grand Bazaar' lands on reel 3</t>
        </is>
      </c>
      <c r="L76" s="8" t="inlineStr">
        <is>
          <t>multiplies the winning combination prize (win-based)</t>
        </is>
      </c>
      <c r="M76" s="7" t="inlineStr">
        <is>
          <t>high</t>
        </is>
      </c>
      <c r="N76" s="7" t="inlineStr">
        <is>
          <t>Grand Bazaar AGT_RGS_Rev E.doc</t>
        </is>
      </c>
      <c r="O76" s="8" t="inlineStr">
        <is>
          <t>Hands scatter triggers free games and pays paytable; multiplier only multiplies wins in the feature.</t>
        </is>
      </c>
    </row>
    <row r="77">
      <c r="A77" s="7" t="inlineStr">
        <is>
          <t>Grand Dragon</t>
        </is>
      </c>
      <c r="B77" s="7" t="inlineStr">
        <is>
          <t>no</t>
        </is>
      </c>
      <c r="C77" s="7" t="inlineStr"/>
      <c r="D77" s="7" t="inlineStr">
        <is>
          <t>none</t>
        </is>
      </c>
      <c r="E77" s="7" t="inlineStr"/>
      <c r="F77" s="8" t="inlineStr"/>
      <c r="G77" s="7" t="inlineStr">
        <is>
          <t>numLines up to 20 (doubled in feature)</t>
        </is>
      </c>
      <c r="H77" s="7" t="inlineStr">
        <is>
          <t>No</t>
        </is>
      </c>
      <c r="I77" s="7" t="inlineStr">
        <is>
          <t>20</t>
        </is>
      </c>
      <c r="J77" s="8" t="inlineStr">
        <is>
          <t>'Yin Yang' is a scatter. Scatters pay in any position. 10 free games are triggered by any 3 or more scattered 'Yin Yang'.</t>
        </is>
      </c>
      <c r="K77" s="8" t="inlineStr">
        <is>
          <t>none (Phoenix Feature DOUBLES number of lines played, not a win multiplier)</t>
        </is>
      </c>
      <c r="L77" s="8" t="inlineStr"/>
      <c r="M77" s="7" t="inlineStr">
        <is>
          <t>high</t>
        </is>
      </c>
      <c r="N77" s="7" t="inlineStr">
        <is>
          <t>Grand_Dragon_AGT_RGS_Rev_A.doc</t>
        </is>
      </c>
      <c r="O77" s="8" t="inlineStr">
        <is>
          <t>Coin is a normal paytable symbol; no bet-multiplied coin prize.</t>
        </is>
      </c>
    </row>
    <row r="78">
      <c r="A78" s="7" t="inlineStr">
        <is>
          <t>GrandFortune</t>
        </is>
      </c>
      <c r="B78" s="7" t="inlineStr">
        <is>
          <t>yes</t>
        </is>
      </c>
      <c r="C78" s="7" t="inlineStr">
        <is>
          <t>Fortune Prizes and Yin Yang (Coin is the free-games triggering scatter)</t>
        </is>
      </c>
      <c r="D78" s="7" t="inlineStr">
        <is>
          <t>total_bet</t>
        </is>
      </c>
      <c r="E78" s="10" t="inlineStr">
        <is>
          <t>TotalBet</t>
        </is>
      </c>
      <c r="F78" s="8" t="inlineStr">
        <is>
          <t>Fortune Prizes 2-200 x total credits bet; Yin Yang Prizes 1-50 x total credits bet</t>
        </is>
      </c>
      <c r="G78" s="7" t="inlineStr">
        <is>
          <t>lines=50 (VX1/2), 25 (VX3/4) or 5 (VX5/6) depending on variation</t>
        </is>
      </c>
      <c r="H78" s="7" t="inlineStr">
        <is>
          <t>Unknown</t>
        </is>
      </c>
      <c r="I78" s="7" t="inlineStr"/>
      <c r="J78" s="8" t="inlineStr">
        <is>
          <t>Possible Fortune Prizes appearing during paid games are 2, 3, 4, 5, 8, 10, 20, 50, 100 or 200 multiplied by total credits bet, as displayed. Scatter wins are multiplied by the total credits bet except Progressives and Bonuses.</t>
        </is>
      </c>
      <c r="K78" s="8" t="inlineStr">
        <is>
          <t>'Bull x2'/'Bull x3' multiplier wild symbols (max multiplier per line 18)</t>
        </is>
      </c>
      <c r="L78" s="8" t="inlineStr">
        <is>
          <t>multiplies the line win (win-based)</t>
        </is>
      </c>
      <c r="M78" s="7" t="inlineStr">
        <is>
          <t>high</t>
        </is>
      </c>
      <c r="N78" s="7" t="inlineStr">
        <is>
          <t>GrandFortuneFortune Bull_TechSpec_Dpf1.doc</t>
        </is>
      </c>
      <c r="O78" s="8" t="inlineStr">
        <is>
          <t>TechSpec doc. Yin Yang Prizes in Stack'n Win Feature are also x total credits bet.</t>
        </is>
      </c>
    </row>
    <row r="79">
      <c r="A79" s="7" t="inlineStr">
        <is>
          <t>Guan Yu</t>
        </is>
      </c>
      <c r="B79" s="7" t="inlineStr">
        <is>
          <t>yes</t>
        </is>
      </c>
      <c r="C79" s="7" t="inlineStr">
        <is>
          <t>Pan Chang</t>
        </is>
      </c>
      <c r="D79" s="7" t="inlineStr">
        <is>
          <t>total_bet</t>
        </is>
      </c>
      <c r="E79" s="10" t="inlineStr">
        <is>
          <t>TotalBet</t>
        </is>
      </c>
      <c r="F79" s="8" t="inlineStr">
        <is>
          <t>Pan Chang Prize of 1-200 x total credits bet</t>
        </is>
      </c>
      <c r="G79" s="7" t="inlineStr"/>
      <c r="H79" s="7" t="inlineStr">
        <is>
          <t>No</t>
        </is>
      </c>
      <c r="I79" s="7" t="inlineStr">
        <is>
          <t>50</t>
        </is>
      </c>
      <c r="J79" s="8" t="inlineStr">
        <is>
          <t>Pan Chang' always appears on screen with a random 'Pan Chang' Prize of 200, 100, 50, 20, 15, 10, 5, 3, 2 or 1 multiplied by total credits bet, MAJOR, MINOR or MINI Bonus as displayed.</t>
        </is>
      </c>
      <c r="K79" s="8" t="inlineStr">
        <is>
          <t>none (Guan Yu is a transforming wild)</t>
        </is>
      </c>
      <c r="L79" s="8" t="inlineStr"/>
      <c r="M79" s="7" t="inlineStr">
        <is>
          <t>high</t>
        </is>
      </c>
      <c r="N79" s="7" t="inlineStr">
        <is>
          <t>Guan Yu _AGT_RGS_RevA.DOC</t>
        </is>
      </c>
      <c r="O79" s="8" t="inlineStr">
        <is>
          <t>Palace scatter triggers free games and pays paytable.</t>
        </is>
      </c>
    </row>
    <row r="80">
      <c r="A80" s="7" t="inlineStr">
        <is>
          <t>Heart Queen (Quad Shot)</t>
        </is>
      </c>
      <c r="B80" s="7" t="inlineStr">
        <is>
          <t>no</t>
        </is>
      </c>
      <c r="C80" s="7" t="inlineStr"/>
      <c r="D80" s="7" t="inlineStr">
        <is>
          <t>none</t>
        </is>
      </c>
      <c r="E80" s="7" t="inlineStr"/>
      <c r="F80" s="8" t="inlineStr"/>
      <c r="G80" s="7" t="inlineStr">
        <is>
          <t>40 or 50 fixed lines (also line-option versions)</t>
        </is>
      </c>
      <c r="H80" s="7" t="inlineStr">
        <is>
          <t>No</t>
        </is>
      </c>
      <c r="I80" s="7" t="inlineStr">
        <is>
          <t>40</t>
        </is>
      </c>
      <c r="J80" s="8" t="inlineStr">
        <is>
          <t>'Heart Queen' is a scatter. Scatter wins are multiplied by the total credits bet. Line wins multiplied by credits bet per line, except Progressives.</t>
        </is>
      </c>
      <c r="K80" s="8" t="inlineStr">
        <is>
          <t>Heart Feature: Wild Queen multiplier (per Wild Queen Multipliers Table); Quad Shot triggers progressives</t>
        </is>
      </c>
      <c r="L80" s="8" t="inlineStr">
        <is>
          <t>Wild Queen multiplies the line win (win-based)</t>
        </is>
      </c>
      <c r="M80" s="7" t="inlineStr">
        <is>
          <t>high</t>
        </is>
      </c>
      <c r="N80" s="7" t="inlineStr">
        <is>
          <t>Heart Queen Tech Spec  A560 INT Dpf1.doc</t>
        </is>
      </c>
      <c r="O80" s="8" t="inlineStr">
        <is>
          <t>TechSpec. Heart Queen scatter pays a paytable prize (x total bet, standard scatter rule); no displayed coin/prize scatter.</t>
        </is>
      </c>
    </row>
    <row r="81">
      <c r="A81" s="7" t="inlineStr">
        <is>
          <t>HighHitsMegaLoot_MLF</t>
        </is>
      </c>
      <c r="B81" s="7" t="inlineStr">
        <is>
          <t>no</t>
        </is>
      </c>
      <c r="C81" s="7" t="inlineStr"/>
      <c r="D81" s="7" t="inlineStr">
        <is>
          <t>none</t>
        </is>
      </c>
      <c r="E81" s="7" t="inlineStr"/>
      <c r="F81" s="8" t="inlineStr"/>
      <c r="G81" s="7" t="inlineStr">
        <is>
          <t>numLines=20, static multiplier=30, Total Bet=30</t>
        </is>
      </c>
      <c r="H81" s="7" t="inlineStr">
        <is>
          <t>No</t>
        </is>
      </c>
      <c r="I81" s="7" t="inlineStr">
        <is>
          <t>20</t>
        </is>
      </c>
      <c r="J81" s="8" t="inlineStr">
        <is>
          <t>All available bet options are multiplied by static multiplier '30'. GREEN CASH STACK, YELLOW CASH STACK, RED CASH STACK are scatters and appear in the paid games.</t>
        </is>
      </c>
      <c r="K81" s="8" t="inlineStr">
        <is>
          <t>WILD LOOT: RED WILD*2/*3/*5 displayed multiplier values are added to the line win multiplier</t>
        </is>
      </c>
      <c r="L81" s="8" t="inlineStr">
        <is>
          <t>added to the line win multiplier (win-based)</t>
        </is>
      </c>
      <c r="M81" s="7" t="inlineStr">
        <is>
          <t>high</t>
        </is>
      </c>
      <c r="N81" s="7" t="inlineStr">
        <is>
          <t>HighHitsMegaLoot_RevA.doc</t>
        </is>
      </c>
      <c r="O81" s="8" t="inlineStr">
        <is>
          <t>Static multiplier '30' present but there is NO coin/prize scatter displaying a bet-multiple value; Cash Stacks randomly trigger features. Static-multiplier-ratio strategy does not apply (no 'prize x N times bet').</t>
        </is>
      </c>
    </row>
    <row r="82">
      <c r="A82" s="7" t="inlineStr">
        <is>
          <t>Hotter than Hot (King Strike)</t>
        </is>
      </c>
      <c r="B82" s="7" t="inlineStr">
        <is>
          <t>no</t>
        </is>
      </c>
      <c r="C82" s="7" t="inlineStr"/>
      <c r="D82" s="7" t="inlineStr">
        <is>
          <t>none</t>
        </is>
      </c>
      <c r="E82" s="7" t="inlineStr"/>
      <c r="F82" s="8" t="inlineStr"/>
      <c r="G82" s="7" t="inlineStr">
        <is>
          <t>numLines up to 30</t>
        </is>
      </c>
      <c r="H82" s="7" t="inlineStr">
        <is>
          <t>No</t>
        </is>
      </c>
      <c r="I82" s="7" t="inlineStr">
        <is>
          <t>30</t>
        </is>
      </c>
      <c r="J82" s="8" t="inlineStr">
        <is>
          <t>'Beetle' is a scatter. Scatters pay in any position. 10 free games are triggered by any 3 or more scattered 'Beetle'.</t>
        </is>
      </c>
      <c r="K82" s="8" t="inlineStr">
        <is>
          <t>none (King Strike on reel 6 triggers Major/Maxi/Minor/Mini progressives)</t>
        </is>
      </c>
      <c r="L82" s="8" t="inlineStr"/>
      <c r="M82" s="7" t="inlineStr">
        <is>
          <t>high</t>
        </is>
      </c>
      <c r="N82" s="7" t="inlineStr">
        <is>
          <t>Hotter than Hot AGT_RGS_Rev B pf1.doc</t>
        </is>
      </c>
      <c r="O82" s="8" t="inlineStr">
        <is>
          <t>Beetle scatter triggers free games and pays paytable; no bet-multiplied coin prize.</t>
        </is>
      </c>
    </row>
    <row r="83">
      <c r="A83" s="7" t="inlineStr">
        <is>
          <t>Hotter than Hot2 (King Strike)</t>
        </is>
      </c>
      <c r="B83" s="7" t="inlineStr">
        <is>
          <t>no</t>
        </is>
      </c>
      <c r="C83" s="7" t="inlineStr"/>
      <c r="D83" s="7" t="inlineStr">
        <is>
          <t>none</t>
        </is>
      </c>
      <c r="E83" s="7" t="inlineStr"/>
      <c r="F83" s="8" t="inlineStr"/>
      <c r="G83" s="7" t="inlineStr">
        <is>
          <t>numLines up to 30</t>
        </is>
      </c>
      <c r="H83" s="7" t="inlineStr">
        <is>
          <t>No</t>
        </is>
      </c>
      <c r="I83" s="7" t="inlineStr">
        <is>
          <t>30</t>
        </is>
      </c>
      <c r="J83" s="8" t="inlineStr">
        <is>
          <t>'Beetle' is a scatter. Scatters pay in any position. 10, 15 or 25 free games are triggered by any 3, 4 or 5 scattered 'Beetle' respectively.</t>
        </is>
      </c>
      <c r="K83" s="8" t="inlineStr">
        <is>
          <t>none (King Strike triggers Major/Maxi/Minor/Mini bonuses)</t>
        </is>
      </c>
      <c r="L83" s="8" t="inlineStr"/>
      <c r="M83" s="7" t="inlineStr">
        <is>
          <t>high</t>
        </is>
      </c>
      <c r="N83" s="7" t="inlineStr">
        <is>
          <t>HotterThanHot2_AGT_RGS_Rev A.doc</t>
        </is>
      </c>
      <c r="O83" s="8" t="inlineStr">
        <is>
          <t>Beetle scatter triggers free games and pays paytable; no bet-multiplied coin prize.</t>
        </is>
      </c>
    </row>
    <row r="84">
      <c r="A84" s="7" t="inlineStr">
        <is>
          <t>Incan Emperor</t>
        </is>
      </c>
      <c r="B84" s="7" t="inlineStr">
        <is>
          <t>yes</t>
        </is>
      </c>
      <c r="C84" s="7" t="inlineStr">
        <is>
          <t>Cash (Coin); Cash Stacks Bonus</t>
        </is>
      </c>
      <c r="D84" s="7" t="inlineStr">
        <is>
          <t>total_bet</t>
        </is>
      </c>
      <c r="E84" s="10" t="inlineStr">
        <is>
          <t>TotalBet</t>
        </is>
      </c>
      <c r="F84" s="8" t="inlineStr">
        <is>
          <t>Coin Bonus 1-20 x total bet; Cash Stack Bonus 5-50 x total bet</t>
        </is>
      </c>
      <c r="G84" s="7" t="inlineStr"/>
      <c r="H84" s="7" t="inlineStr">
        <is>
          <t>No</t>
        </is>
      </c>
      <c r="I84" s="7" t="inlineStr">
        <is>
          <t>50</t>
        </is>
      </c>
      <c r="J84" s="8" t="inlineStr">
        <is>
          <t>'Cash' symbol always appears on screen with a random Coin Bonus of 1,2,3,4,5,8,10 or 20 multiplied by total bet or 'GRAND', 'MAJOR', 'MINOR', 'MINI' as displayed.</t>
        </is>
      </c>
      <c r="K84" s="8" t="inlineStr">
        <is>
          <t>Hold'nStack: 'x2'/'x3'/'x5' multiply the Cash Stack Bonus awarded on their reel column</t>
        </is>
      </c>
      <c r="L84" s="8" t="inlineStr">
        <is>
          <t>multiplies the awarded Cash Stack Bonus prize (prize-based)</t>
        </is>
      </c>
      <c r="M84" s="7" t="inlineStr">
        <is>
          <t>high</t>
        </is>
      </c>
      <c r="N84" s="7" t="inlineStr">
        <is>
          <t>Incan Emperor_AGT_RGS_RevA.doc</t>
        </is>
      </c>
      <c r="O84" s="8" t="inlineStr">
        <is>
          <t>Cash Stacks Bonus also x total bet; column x2/x3/x5 multipliers only scale the feature prize.</t>
        </is>
      </c>
    </row>
    <row r="85">
      <c r="A85" s="7" t="inlineStr">
        <is>
          <t>Indian Gold</t>
        </is>
      </c>
      <c r="B85" s="7" t="inlineStr">
        <is>
          <t>no</t>
        </is>
      </c>
      <c r="C85" s="7" t="inlineStr"/>
      <c r="D85" s="7" t="inlineStr">
        <is>
          <t>none</t>
        </is>
      </c>
      <c r="E85" s="7" t="inlineStr"/>
      <c r="F85" s="8" t="inlineStr"/>
      <c r="G85" s="7" t="inlineStr">
        <is>
          <t>line-option (select lines and credits per line)</t>
        </is>
      </c>
      <c r="H85" s="7" t="inlineStr">
        <is>
          <t>No</t>
        </is>
      </c>
      <c r="I85" s="7" t="inlineStr">
        <is>
          <t>5</t>
        </is>
      </c>
      <c r="J85" s="8" t="inlineStr">
        <is>
          <t>'Indian Gold' is a scatter. Scatter wins are multiplied by the number of lines played and credits bet per line.</t>
        </is>
      </c>
      <c r="K85" s="8" t="inlineStr">
        <is>
          <t>none (Teepee Feature DOUBLES number of lines played)</t>
        </is>
      </c>
      <c r="L85" s="8" t="inlineStr"/>
      <c r="M85" s="7" t="inlineStr">
        <is>
          <t>high</t>
        </is>
      </c>
      <c r="N85" s="7" t="inlineStr">
        <is>
          <t>Indian Gold A560 INT Apf3.doc</t>
        </is>
      </c>
      <c r="O85" s="8" t="inlineStr">
        <is>
          <t>Indian Gold scatter pays a paytable prize (x numLines x bet per line = total bet, standard); no displayed coin/prize scatter.</t>
        </is>
      </c>
    </row>
    <row r="86">
      <c r="A86" s="7" t="inlineStr">
        <is>
          <t>Island Princess QS</t>
        </is>
      </c>
      <c r="B86" s="7" t="inlineStr">
        <is>
          <t>no</t>
        </is>
      </c>
      <c r="C86" s="7" t="inlineStr"/>
      <c r="D86" s="7" t="inlineStr">
        <is>
          <t>none</t>
        </is>
      </c>
      <c r="E86" s="7" t="inlineStr"/>
      <c r="F86" s="8" t="inlineStr"/>
      <c r="G86" s="7" t="inlineStr">
        <is>
          <t>numLines=25</t>
        </is>
      </c>
      <c r="H86" s="7" t="inlineStr">
        <is>
          <t>No</t>
        </is>
      </c>
      <c r="I86" s="7" t="inlineStr">
        <is>
          <t>25</t>
        </is>
      </c>
      <c r="J86" s="8" t="inlineStr">
        <is>
          <t>'Coin' is a scatter. Any 3 or more scattered 'Coin' trigger 8 free games.</t>
        </is>
      </c>
      <c r="K86" s="8" t="inlineStr">
        <is>
          <t>none (QUAD Shot Bonus triggers Major/Maxi/Minor/Mini progressives)</t>
        </is>
      </c>
      <c r="L86" s="8" t="inlineStr"/>
      <c r="M86" s="7" t="inlineStr">
        <is>
          <t>high</t>
        </is>
      </c>
      <c r="N86" s="7" t="inlineStr">
        <is>
          <t>Island Princess_AGT_RGS_RevF.DOC</t>
        </is>
      </c>
      <c r="O86" s="8" t="inlineStr">
        <is>
          <t>'Coin' scatter pays a paytable value (1,5,10) and triggers free games; it is not a bet-multiplied displayed prize.</t>
        </is>
      </c>
    </row>
    <row r="87">
      <c r="A87" s="7" t="inlineStr">
        <is>
          <t>Jade Emperor (King Strike)</t>
        </is>
      </c>
      <c r="B87" s="7" t="inlineStr">
        <is>
          <t>no</t>
        </is>
      </c>
      <c r="C87" s="7" t="inlineStr"/>
      <c r="D87" s="7" t="inlineStr">
        <is>
          <t>none</t>
        </is>
      </c>
      <c r="E87" s="7" t="inlineStr"/>
      <c r="F87" s="8" t="inlineStr"/>
      <c r="G87" s="7" t="inlineStr">
        <is>
          <t>numLines up to 30</t>
        </is>
      </c>
      <c r="H87" s="7" t="inlineStr">
        <is>
          <t>No</t>
        </is>
      </c>
      <c r="I87" s="7" t="inlineStr">
        <is>
          <t>30</t>
        </is>
      </c>
      <c r="J87" s="8" t="inlineStr">
        <is>
          <t>'Temple' is a scatter. 10, 15 or 25 free games are triggered by any 3, 4 or 5 scattered 'Temple' respectively.</t>
        </is>
      </c>
      <c r="K87" s="8" t="inlineStr">
        <is>
          <t>none (King Strike on reel 6 triggers Major/Maxi/Minor/Mini bonuses)</t>
        </is>
      </c>
      <c r="L87" s="8" t="inlineStr"/>
      <c r="M87" s="7" t="inlineStr">
        <is>
          <t>high</t>
        </is>
      </c>
      <c r="N87" s="7" t="inlineStr">
        <is>
          <t>Jade Emperor A560 INT Bpf4.doc</t>
        </is>
      </c>
      <c r="O87" s="8" t="inlineStr">
        <is>
          <t>Temple scatter triggers free games and pays paytable; no bet-multiplied coin prize.</t>
        </is>
      </c>
    </row>
    <row r="88">
      <c r="A88" s="7" t="inlineStr">
        <is>
          <t>Jade Tiger</t>
        </is>
      </c>
      <c r="B88" s="7" t="inlineStr">
        <is>
          <t>no</t>
        </is>
      </c>
      <c r="C88" s="7" t="inlineStr"/>
      <c r="D88" s="7" t="inlineStr">
        <is>
          <t>none</t>
        </is>
      </c>
      <c r="E88" s="7" t="inlineStr"/>
      <c r="F88" s="8" t="inlineStr"/>
      <c r="G88" s="7" t="inlineStr">
        <is>
          <t>numLines up to 30</t>
        </is>
      </c>
      <c r="H88" s="7" t="inlineStr">
        <is>
          <t>No</t>
        </is>
      </c>
      <c r="I88" s="7" t="inlineStr">
        <is>
          <t>30</t>
        </is>
      </c>
      <c r="J88" s="8" t="inlineStr">
        <is>
          <t>'Jade' is a scatter. 10 free games are triggered by any 3 or more scattered 'Jade'.</t>
        </is>
      </c>
      <c r="K88" s="8" t="inlineStr">
        <is>
          <t>none</t>
        </is>
      </c>
      <c r="L88" s="8" t="inlineStr"/>
      <c r="M88" s="7" t="inlineStr">
        <is>
          <t>high</t>
        </is>
      </c>
      <c r="N88" s="7" t="inlineStr">
        <is>
          <t>Jade Tiger AGT_RGS_Rev C pf1.doc</t>
        </is>
      </c>
      <c r="O88" s="8" t="inlineStr">
        <is>
          <t>Jade scatter triggers free games and pays paytable; no bet-multiplied coin prize.</t>
        </is>
      </c>
    </row>
    <row r="89">
      <c r="A89" s="7" t="inlineStr">
        <is>
          <t>Jungle Monkeys</t>
        </is>
      </c>
      <c r="B89" s="7" t="inlineStr">
        <is>
          <t>no</t>
        </is>
      </c>
      <c r="C89" s="7" t="inlineStr"/>
      <c r="D89" s="7" t="inlineStr">
        <is>
          <t>none</t>
        </is>
      </c>
      <c r="E89" s="7" t="inlineStr"/>
      <c r="F89" s="8" t="inlineStr"/>
      <c r="G89" s="7" t="inlineStr">
        <is>
          <t>numLines up to 10</t>
        </is>
      </c>
      <c r="H89" s="7" t="inlineStr">
        <is>
          <t>No</t>
        </is>
      </c>
      <c r="I89" s="7" t="inlineStr">
        <is>
          <t>100</t>
        </is>
      </c>
      <c r="J89" s="8" t="inlineStr">
        <is>
          <t>'Barrel' is a scatter. 20, 12 or 8 free games are triggered by any 5, 4 or 3 scattered 'Barrel' respectively.</t>
        </is>
      </c>
      <c r="K89" s="8" t="inlineStr">
        <is>
          <t>none</t>
        </is>
      </c>
      <c r="L89" s="8" t="inlineStr"/>
      <c r="M89" s="7" t="inlineStr">
        <is>
          <t>high</t>
        </is>
      </c>
      <c r="N89" s="7" t="inlineStr">
        <is>
          <t>Jungle Monkeys AGT_RGS_Rev C.doc</t>
        </is>
      </c>
      <c r="O89" s="8" t="inlineStr">
        <is>
          <t>Barrel scatter triggers free games and pays paytable; no bet-multiplied coin prize.</t>
        </is>
      </c>
    </row>
    <row r="90">
      <c r="A90" s="7" t="inlineStr">
        <is>
          <t>KaijuCash</t>
        </is>
      </c>
      <c r="B90" s="7" t="inlineStr">
        <is>
          <t>yes</t>
        </is>
      </c>
      <c r="C90" s="7" t="inlineStr">
        <is>
          <t>Blue Gem, Red Gem (and 'Coin' in Kaiju Collect / Respin bonuses)</t>
        </is>
      </c>
      <c r="D90" s="7" t="inlineStr">
        <is>
          <t>unclear</t>
        </is>
      </c>
      <c r="E90" s="12" t="inlineStr">
        <is>
          <t>VERIFY (ambiguous)</t>
        </is>
      </c>
      <c r="F90" s="8" t="inlineStr">
        <is>
          <t>credit prizes 40-800 credits times the bet multiplier; pre-multiplied by the bet multiplier</t>
        </is>
      </c>
      <c r="G90" s="7" t="inlineStr">
        <is>
          <t>4x5 grid layout</t>
        </is>
      </c>
      <c r="H90" s="7" t="inlineStr">
        <is>
          <t>Unknown</t>
        </is>
      </c>
      <c r="I90" s="7" t="inlineStr"/>
      <c r="J90" s="8" t="inlineStr">
        <is>
          <t>Credit prizes appearing on 'Blue Gem' or 'Red Gem' range from 40 to 800 credits times the bet multiplier. Credit prizes displayed on 'Blue Gem' and 'Red Gem' have been pre-multiplied by the bet multiplier.</t>
        </is>
      </c>
      <c r="K90" s="8" t="inlineStr">
        <is>
          <t>Ultimate Respin Bonus multiplier track (x2,x3,x4,x5,x8) multiplies the prize of each 'Coin' collected</t>
        </is>
      </c>
      <c r="L90" s="8" t="inlineStr">
        <is>
          <t>multiplies the displayed coin prize (prize-based)</t>
        </is>
      </c>
      <c r="M90" s="7" t="inlineStr">
        <is>
          <t>medium</t>
        </is>
      </c>
      <c r="N90" s="7" t="inlineStr">
        <is>
          <t>ainsworth43 - Kaiju Cash.pdf</t>
        </is>
      </c>
      <c r="O90" s="8" t="inlineStr">
        <is>
          <t>Source is a PDF game flow (Ainsworth). Prizes are tied to a 'bet multiplier' (pre-multiplied) but the doc does not resolve whether that is total bet vs bet per line -&gt; unclear.</t>
        </is>
      </c>
    </row>
    <row r="91">
      <c r="A91" s="7" t="inlineStr">
        <is>
          <t>Kanga Cash Extra</t>
        </is>
      </c>
      <c r="B91" s="7" t="inlineStr">
        <is>
          <t>yes</t>
        </is>
      </c>
      <c r="C91" s="7" t="inlineStr">
        <is>
          <t>Boomerang</t>
        </is>
      </c>
      <c r="D91" s="7" t="inlineStr">
        <is>
          <t>bet_per_line</t>
        </is>
      </c>
      <c r="E91" s="11" t="inlineStr">
        <is>
          <t>LineBetFromStaticMultiplier</t>
        </is>
      </c>
      <c r="F91" s="8" t="inlineStr">
        <is>
          <t>Boomerang random prize of 5,10,15,20,25,50,100,200 x bet per line</t>
        </is>
      </c>
      <c r="G91" s="7" t="inlineStr">
        <is>
          <t>numLines=10</t>
        </is>
      </c>
      <c r="H91" s="7" t="inlineStr">
        <is>
          <t>No</t>
        </is>
      </c>
      <c r="I91" s="7" t="inlineStr">
        <is>
          <t>10</t>
        </is>
      </c>
      <c r="J91" s="8" t="inlineStr">
        <is>
          <t>'Boomerang' always appears on screen with a random prize of 5, 10, 15, 20, 25, 50, 100 or 200 multiplied by bet per line as displayed during paid games and Kanga Cash Extra Feature only</t>
        </is>
      </c>
      <c r="K91" s="8" t="inlineStr">
        <is>
          <t>Spin and Hold Feature: Sunset collection awards 5x/10x/15x/25x/40x total bet by count</t>
        </is>
      </c>
      <c r="L91" s="8" t="inlineStr">
        <is>
          <t>feature collection prize: fixed multiples of total bet</t>
        </is>
      </c>
      <c r="M91" s="7" t="inlineStr">
        <is>
          <t>high</t>
        </is>
      </c>
      <c r="N91" s="7" t="inlineStr">
        <is>
          <t>Kanga Cash Extra_AGT_RGS_RevB.doc</t>
        </is>
      </c>
      <c r="O91" s="8" t="inlineStr">
        <is>
          <t>Templated rule (AGT_STR_04 ... multiplied by bet per line) confirms the base is bet per line.</t>
        </is>
      </c>
    </row>
    <row r="92">
      <c r="A92" s="7" t="inlineStr">
        <is>
          <t>Kanga Cash</t>
        </is>
      </c>
      <c r="B92" s="7" t="inlineStr">
        <is>
          <t>no</t>
        </is>
      </c>
      <c r="C92" s="7" t="inlineStr"/>
      <c r="D92" s="7" t="inlineStr">
        <is>
          <t>none</t>
        </is>
      </c>
      <c r="E92" s="7" t="inlineStr"/>
      <c r="F92" s="8" t="inlineStr"/>
      <c r="G92" s="7" t="inlineStr">
        <is>
          <t>numLines=10</t>
        </is>
      </c>
      <c r="H92" s="7" t="inlineStr">
        <is>
          <t>No</t>
        </is>
      </c>
      <c r="I92" s="7" t="inlineStr">
        <is>
          <t>10</t>
        </is>
      </c>
      <c r="J92" s="8" t="inlineStr">
        <is>
          <t>6 to 7 'Sunset's awards 5x the total bet as displayed. ... 14 'Sunset's awards 45x the total bet as displayed.</t>
        </is>
      </c>
      <c r="K92" s="8" t="inlineStr">
        <is>
          <t>Spin and Hold: Sunset collection awards 5x-45x total bet by count; Kanga Cash Feature repeat win prize = triggering line win</t>
        </is>
      </c>
      <c r="L92" s="8" t="inlineStr">
        <is>
          <t>collection prizes are fixed multiples of total bet; repeat-win prize = line win (win-based)</t>
        </is>
      </c>
      <c r="M92" s="7" t="inlineStr">
        <is>
          <t>medium</t>
        </is>
      </c>
      <c r="N92" s="7" t="inlineStr">
        <is>
          <t>Kanga Cash_AGT_RGS_RevC.doc</t>
        </is>
      </c>
      <c r="O92" s="8" t="inlineStr">
        <is>
          <t>No per-symbol displayed coin/prize scatter (unlike Kanga Cash Extra's Boomerang). Spin and Hold prizes are count-based multiples of total bet, not displayed per-symbol coin prizes.</t>
        </is>
      </c>
    </row>
    <row r="93">
      <c r="A93" s="7" t="inlineStr">
        <is>
          <t>King Cat</t>
        </is>
      </c>
      <c r="B93" s="7" t="inlineStr">
        <is>
          <t>no</t>
        </is>
      </c>
      <c r="C93" s="7" t="inlineStr"/>
      <c r="D93" s="7" t="inlineStr">
        <is>
          <t>none</t>
        </is>
      </c>
      <c r="E93" s="7" t="inlineStr"/>
      <c r="F93" s="8" t="inlineStr"/>
      <c r="G93" s="7" t="inlineStr">
        <is>
          <t>numLines=100</t>
        </is>
      </c>
      <c r="H93" s="7" t="inlineStr">
        <is>
          <t>No</t>
        </is>
      </c>
      <c r="I93" s="7" t="inlineStr">
        <is>
          <t>100</t>
        </is>
      </c>
      <c r="J93" s="8" t="inlineStr">
        <is>
          <t>'Panther' is a scatter. Scatters pay in any position. Scatter wins and line wins are added.</t>
        </is>
      </c>
      <c r="K93" s="8" t="inlineStr">
        <is>
          <t>'x2'/'x3' wild symbols appear during Free Games (Diamond feature transforms symbols to Wild/x2/x3)</t>
        </is>
      </c>
      <c r="L93" s="8" t="inlineStr">
        <is>
          <t>multiplies the line win (win-based)</t>
        </is>
      </c>
      <c r="M93" s="7" t="inlineStr">
        <is>
          <t>high</t>
        </is>
      </c>
      <c r="N93" s="7" t="inlineStr">
        <is>
          <t>King_Cat_AGT_RGS_Rev A pf1.doc</t>
        </is>
      </c>
      <c r="O93" s="8" t="inlineStr">
        <is>
          <t>'Panther' is a standard scatter paying via paytable (Pr 1/10/100), not a value-displaying multiplier. No bet-multiplied prize symbol. Free-games x2/x3 are wild multipliers on line wins.</t>
        </is>
      </c>
    </row>
    <row r="94">
      <c r="A94" s="7" t="inlineStr">
        <is>
          <t>King Chameleon</t>
        </is>
      </c>
      <c r="B94" s="7" t="inlineStr">
        <is>
          <t>no</t>
        </is>
      </c>
      <c r="C94" s="7" t="inlineStr"/>
      <c r="D94" s="7" t="inlineStr">
        <is>
          <t>none</t>
        </is>
      </c>
      <c r="E94" s="7" t="inlineStr"/>
      <c r="F94" s="8" t="inlineStr"/>
      <c r="G94" s="7" t="inlineStr">
        <is>
          <t>numLines=100</t>
        </is>
      </c>
      <c r="H94" s="7" t="inlineStr">
        <is>
          <t>No</t>
        </is>
      </c>
      <c r="I94" s="7" t="inlineStr">
        <is>
          <t>100</t>
        </is>
      </c>
      <c r="J94" s="8" t="inlineStr">
        <is>
          <t>'Tree' is a scatter. All prizes for the winning combinations with 'Gold Chameleon' multiplier substituting are multiplied by the 'Gold Chameleon' multiplier as displayed.</t>
        </is>
      </c>
      <c r="K94" s="8" t="inlineStr">
        <is>
          <t>Gold Chameleon x1-x5 substitute multiplier (free games)</t>
        </is>
      </c>
      <c r="L94" s="8" t="inlineStr">
        <is>
          <t>multiplies the winning-combination prize (win-based)</t>
        </is>
      </c>
      <c r="M94" s="7" t="inlineStr">
        <is>
          <t>high</t>
        </is>
      </c>
      <c r="N94" s="7" t="inlineStr">
        <is>
          <t>King Chameleon AGT_RGS_Rev C.doc</t>
        </is>
      </c>
      <c r="O94" s="8" t="inlineStr">
        <is>
          <t>Scatter 'Tree' only triggers free games. Gold Chameleon is a wild-type multiplier on line-win prizes, not bet-derived.</t>
        </is>
      </c>
    </row>
    <row r="95">
      <c r="A95" s="7" t="inlineStr">
        <is>
          <t>King Ramses TS</t>
        </is>
      </c>
      <c r="B95" s="7" t="inlineStr">
        <is>
          <t>no</t>
        </is>
      </c>
      <c r="C95" s="7" t="inlineStr"/>
      <c r="D95" s="7" t="inlineStr">
        <is>
          <t>none</t>
        </is>
      </c>
      <c r="E95" s="7" t="inlineStr"/>
      <c r="F95" s="8" t="inlineStr"/>
      <c r="G95" s="7" t="inlineStr">
        <is>
          <t>numLines=25</t>
        </is>
      </c>
      <c r="H95" s="7" t="inlineStr">
        <is>
          <t>No</t>
        </is>
      </c>
      <c r="I95" s="7" t="inlineStr">
        <is>
          <t>25</t>
        </is>
      </c>
      <c r="J95" s="8" t="inlineStr">
        <is>
          <t>'King Ramses' is a scatter. Any 3, 4 or 5 scatters trigger 10, 15 or 25 free games respectively.</t>
        </is>
      </c>
      <c r="K95" s="8" t="inlineStr">
        <is>
          <t>TRIPLE Shot Bonus awards Major/Maxi/Minor (fixed credit prizes)</t>
        </is>
      </c>
      <c r="L95" s="8" t="inlineStr">
        <is>
          <t>fixed bonus prize from Bonus Configuration table (not a multiplier)</t>
        </is>
      </c>
      <c r="M95" s="7" t="inlineStr">
        <is>
          <t>high</t>
        </is>
      </c>
      <c r="N95" s="7" t="inlineStr">
        <is>
          <t>KingRamses_AGT_RGS_RevC.doc</t>
        </is>
      </c>
      <c r="O95" s="8" t="inlineStr">
        <is>
          <t>Scatter only triggers free games/paytable. TRIPLE Shot bonuses are fixed prizes (Major 2000, Maxi 220, Minor 20 for 1c). No bet-multiplied scatter prize.</t>
        </is>
      </c>
    </row>
    <row r="96">
      <c r="A96" s="7" t="inlineStr">
        <is>
          <t>King of the Jungle</t>
        </is>
      </c>
      <c r="B96" s="7" t="inlineStr">
        <is>
          <t>no</t>
        </is>
      </c>
      <c r="C96" s="7" t="inlineStr"/>
      <c r="D96" s="7" t="inlineStr">
        <is>
          <t>none</t>
        </is>
      </c>
      <c r="E96" s="7" t="inlineStr"/>
      <c r="F96" s="8" t="inlineStr"/>
      <c r="G96" s="7" t="inlineStr">
        <is>
          <t>numLines=25</t>
        </is>
      </c>
      <c r="H96" s="7" t="inlineStr">
        <is>
          <t>No</t>
        </is>
      </c>
      <c r="I96" s="7" t="inlineStr">
        <is>
          <t>25</t>
        </is>
      </c>
      <c r="J96" s="8" t="inlineStr">
        <is>
          <t>'Gorilla' is a scatter. If 'x3' or 'x5' substitutes in a win, the pay for that win is multiplied by 3 or 5 respectively.</t>
        </is>
      </c>
      <c r="K96" s="8" t="inlineStr">
        <is>
          <t>x3/x5 wild substitute multipliers (free games); Mini/Minor/Major/Grand bonus prizes (fixed)</t>
        </is>
      </c>
      <c r="L96" s="8" t="inlineStr">
        <is>
          <t>x3/x5 multiply the line win (win-based); bonus prizes are fixed credit values, trigger chance proportional to total bet</t>
        </is>
      </c>
      <c r="M96" s="7" t="inlineStr">
        <is>
          <t>high</t>
        </is>
      </c>
      <c r="N96" s="7" t="inlineStr">
        <is>
          <t>KingoftheJungle_AGT_RGS_RevB.doc</t>
        </is>
      </c>
      <c r="O96" s="8" t="inlineStr">
        <is>
          <t>Scatter triggers free games. Bonus prizes fixed (Grand 7500 etc for 1c). No value-displaying scatter multiplier.</t>
        </is>
      </c>
    </row>
    <row r="97">
      <c r="A97" s="7" t="inlineStr">
        <is>
          <t>Kyoto Warrior</t>
        </is>
      </c>
      <c r="B97" s="7" t="inlineStr">
        <is>
          <t>no</t>
        </is>
      </c>
      <c r="C97" s="7" t="inlineStr"/>
      <c r="D97" s="7" t="inlineStr">
        <is>
          <t>none</t>
        </is>
      </c>
      <c r="E97" s="7" t="inlineStr"/>
      <c r="F97" s="8" t="inlineStr"/>
      <c r="G97" s="7" t="inlineStr">
        <is>
          <t>numLines=20</t>
        </is>
      </c>
      <c r="H97" s="7" t="inlineStr">
        <is>
          <t>No</t>
        </is>
      </c>
      <c r="I97" s="7" t="inlineStr">
        <is>
          <t>20</t>
        </is>
      </c>
      <c r="J97" s="8" t="inlineStr">
        <is>
          <t>'Warrior' is a scatter and only appears during paid games. When 'Wild x2', 'Wild x3' and 'Wild x5' substitutes in a winning combination, the prize for that win is multiplied by 2, 3 or 5 respectively.</t>
        </is>
      </c>
      <c r="K97" s="8" t="inlineStr">
        <is>
          <t>Wild x2/x3/x5 (Lucky Castle Games)</t>
        </is>
      </c>
      <c r="L97" s="8" t="inlineStr">
        <is>
          <t>multiplies the winning-combination prize (win-based)</t>
        </is>
      </c>
      <c r="M97" s="7" t="inlineStr">
        <is>
          <t>high</t>
        </is>
      </c>
      <c r="N97" s="7" t="inlineStr">
        <is>
          <t>Kyoto Warrior_AGT_RGS_RevA.doc</t>
        </is>
      </c>
      <c r="O97" s="8" t="inlineStr">
        <is>
          <t>Scatters 'Warrior' and 'Gunbai Fan' trigger features only. Wild multipliers are win-based.</t>
        </is>
      </c>
    </row>
    <row r="98">
      <c r="A98" s="7" t="inlineStr">
        <is>
          <t>LagoonMegaLoot</t>
        </is>
      </c>
      <c r="B98" s="7" t="inlineStr">
        <is>
          <t>yes</t>
        </is>
      </c>
      <c r="C98" s="7" t="inlineStr">
        <is>
          <t>'Bomb' (prize scatter in MEGALOOT FEATURE)</t>
        </is>
      </c>
      <c r="D98" s="7" t="inlineStr">
        <is>
          <t>static_multiplier</t>
        </is>
      </c>
      <c r="E98" s="11" t="inlineStr">
        <is>
          <t>LineBetFromStaticMultiplier</t>
        </is>
      </c>
      <c r="F98" s="8" t="inlineStr">
        <is>
          <t>Bomb prize = value x 50 x bet per line; numLines=50, static=75 -&gt; = total_bet*50/75</t>
        </is>
      </c>
      <c r="G98" s="7" t="inlineStr">
        <is>
          <t>numLines=50, static=75</t>
        </is>
      </c>
      <c r="H98" s="7" t="inlineStr">
        <is>
          <t>No</t>
        </is>
      </c>
      <c r="I98" s="7" t="inlineStr">
        <is>
          <t>50</t>
        </is>
      </c>
      <c r="J98" s="8" t="inlineStr">
        <is>
          <t>All available bet options are multiplied by static multiplier '75'. 'Bomb' with random Prize of 1, 2, 3, 5, 8, 10, 25, 50 or 75 multiplied by 50 times of the bet per line value will be revealed by 'Duck' in the MEGALOOT FEATURE.</t>
        </is>
      </c>
      <c r="K98" s="8" t="inlineStr">
        <is>
          <t>Grand/Maxi/Mini bonus (fixed prizes)</t>
        </is>
      </c>
      <c r="L98" s="8" t="inlineStr">
        <is>
          <t>fixed bonus prize values</t>
        </is>
      </c>
      <c r="M98" s="7" t="inlineStr">
        <is>
          <t>high</t>
        </is>
      </c>
      <c r="N98" s="7" t="inlineStr">
        <is>
          <t>Lagoon MegaLoot_RevB.doc</t>
        </is>
      </c>
      <c r="O98" s="8" t="inlineStr">
        <is>
          <t>Bet options multiplied by static 75, so total bet = bet_per_line*75. Bomb prize explicitly = value x 50 x bet-per-line, i.e. value x (50/75) x total_bet. Airdrop scatter triggers the feature (no displayed value).</t>
        </is>
      </c>
    </row>
    <row r="99">
      <c r="A99" s="7" t="inlineStr">
        <is>
          <t>Larry the Leprechaun</t>
        </is>
      </c>
      <c r="B99" s="7" t="inlineStr">
        <is>
          <t>no</t>
        </is>
      </c>
      <c r="C99" s="7" t="inlineStr"/>
      <c r="D99" s="7" t="inlineStr">
        <is>
          <t>none</t>
        </is>
      </c>
      <c r="E99" s="7" t="inlineStr"/>
      <c r="F99" s="8" t="inlineStr"/>
      <c r="G99" s="7" t="inlineStr">
        <is>
          <t>player-selectable lines (A560)</t>
        </is>
      </c>
      <c r="H99" s="7" t="inlineStr">
        <is>
          <t>Unknown</t>
        </is>
      </c>
      <c r="I99" s="7" t="inlineStr"/>
      <c r="J99" s="8" t="inlineStr">
        <is>
          <t>'Gold Pot' is a scatter. Scatter wins are multiplied by the total credits bet. Line wins multiplied by credits bet per line.</t>
        </is>
      </c>
      <c r="K99" s="8" t="inlineStr">
        <is>
          <t>Gold/Silver Coin multipliers (1-6, summed, free games); Progressives &amp; Mini/Minor/Major bonus prizes</t>
        </is>
      </c>
      <c r="L99" s="8" t="inlineStr">
        <is>
          <t>Coin multipliers multiply the winning-combination pay (win-based); progressives/bonus are separate awards, chance proportional to total credits bet</t>
        </is>
      </c>
      <c r="M99" s="7" t="inlineStr">
        <is>
          <t>high</t>
        </is>
      </c>
      <c r="N99" s="7" t="inlineStr">
        <is>
          <t>Larry the Leprechaun_NSW_Bpf1.doc</t>
        </is>
      </c>
      <c r="O99" s="8" t="inlineStr">
        <is>
          <t>'Gold Pot' is a standard scatter (scatter wins x total bet, paytable-based), not a value-displaying prize symbol. Free-games Gold/Silver Coin are win-based multipliers.</t>
        </is>
      </c>
    </row>
    <row r="100">
      <c r="A100" s="7" t="inlineStr">
        <is>
          <t>Legends of Africa</t>
        </is>
      </c>
      <c r="B100" s="7" t="inlineStr">
        <is>
          <t>no</t>
        </is>
      </c>
      <c r="C100" s="7" t="inlineStr"/>
      <c r="D100" s="7" t="inlineStr">
        <is>
          <t>none</t>
        </is>
      </c>
      <c r="E100" s="7" t="inlineStr"/>
      <c r="F100" s="8" t="inlineStr"/>
      <c r="G100" s="7" t="inlineStr">
        <is>
          <t>Ways game</t>
        </is>
      </c>
      <c r="H100" s="7" t="inlineStr">
        <is>
          <t>No</t>
        </is>
      </c>
      <c r="I100" s="7" t="inlineStr"/>
      <c r="J100" s="8" t="inlineStr">
        <is>
          <t>'Compass' is a scatter. 8 free games are triggered by any 3 or more scattered 'Compass'.</t>
        </is>
      </c>
      <c r="K100" s="8" t="inlineStr">
        <is>
          <t>none</t>
        </is>
      </c>
      <c r="L100" s="8" t="inlineStr"/>
      <c r="M100" s="7" t="inlineStr">
        <is>
          <t>high</t>
        </is>
      </c>
      <c r="N100" s="7" t="inlineStr">
        <is>
          <t>Legends of Africa AGT_RGS_Rev B pf1.doc</t>
        </is>
      </c>
      <c r="O100" s="8" t="inlineStr">
        <is>
          <t>Ways-type game. Compass scatter only triggers free games. No multiplier symbols.</t>
        </is>
      </c>
    </row>
    <row r="101">
      <c r="A101" s="7" t="inlineStr">
        <is>
          <t>Legends of Egypt</t>
        </is>
      </c>
      <c r="B101" s="7" t="inlineStr">
        <is>
          <t>no</t>
        </is>
      </c>
      <c r="C101" s="7" t="inlineStr"/>
      <c r="D101" s="7" t="inlineStr">
        <is>
          <t>none</t>
        </is>
      </c>
      <c r="E101" s="7" t="inlineStr"/>
      <c r="F101" s="8" t="inlineStr"/>
      <c r="G101" s="7" t="inlineStr">
        <is>
          <t>Ways game</t>
        </is>
      </c>
      <c r="H101" s="7" t="inlineStr">
        <is>
          <t>No</t>
        </is>
      </c>
      <c r="I101" s="7" t="inlineStr"/>
      <c r="J101" s="8" t="inlineStr">
        <is>
          <t>'Compass' is a scatter. 8 free games are triggered by any 3 or more scattered 'Compass'.</t>
        </is>
      </c>
      <c r="K101" s="8" t="inlineStr">
        <is>
          <t>none</t>
        </is>
      </c>
      <c r="L101" s="8" t="inlineStr"/>
      <c r="M101" s="7" t="inlineStr">
        <is>
          <t>high</t>
        </is>
      </c>
      <c r="N101" s="7" t="inlineStr">
        <is>
          <t>Legends of Egypt AGT_RGS_Rev A pf1.doc</t>
        </is>
      </c>
      <c r="O101" s="8" t="inlineStr">
        <is>
          <t>Ways-type game. Compass scatter only triggers free games. No multiplier symbols.</t>
        </is>
      </c>
    </row>
    <row r="102">
      <c r="A102" s="7" t="inlineStr">
        <is>
          <t>Legends of New York</t>
        </is>
      </c>
      <c r="B102" s="7" t="inlineStr">
        <is>
          <t>no</t>
        </is>
      </c>
      <c r="C102" s="7" t="inlineStr"/>
      <c r="D102" s="7" t="inlineStr">
        <is>
          <t>none</t>
        </is>
      </c>
      <c r="E102" s="7" t="inlineStr"/>
      <c r="F102" s="8" t="inlineStr"/>
      <c r="G102" s="7" t="inlineStr">
        <is>
          <t>Ways game</t>
        </is>
      </c>
      <c r="H102" s="7" t="inlineStr">
        <is>
          <t>No</t>
        </is>
      </c>
      <c r="I102" s="7" t="inlineStr"/>
      <c r="J102" s="8" t="inlineStr">
        <is>
          <t>'Compass' is a scatter. If one or more multipliers substitute in a win the prize for that win is multiplied by each multiplier, as displayed.</t>
        </is>
      </c>
      <c r="K102" s="8" t="inlineStr">
        <is>
          <t>x2/x3/x5 multipliers (from Statue, free games)</t>
        </is>
      </c>
      <c r="L102" s="8" t="inlineStr">
        <is>
          <t>multiplies the winning-combination prize (win-based)</t>
        </is>
      </c>
      <c r="M102" s="7" t="inlineStr">
        <is>
          <t>high</t>
        </is>
      </c>
      <c r="N102" s="7" t="inlineStr">
        <is>
          <t>Legends of New York AGT_RGS_Rev D.doc</t>
        </is>
      </c>
      <c r="O102" s="8" t="inlineStr">
        <is>
          <t>Ways-type game. Compass scatter triggers free games. x2/x3/x5 are win-based substitute multipliers.</t>
        </is>
      </c>
    </row>
    <row r="103">
      <c r="A103" s="7" t="inlineStr">
        <is>
          <t>Legends of The Incas</t>
        </is>
      </c>
      <c r="B103" s="7" t="inlineStr">
        <is>
          <t>no</t>
        </is>
      </c>
      <c r="C103" s="7" t="inlineStr"/>
      <c r="D103" s="7" t="inlineStr">
        <is>
          <t>none</t>
        </is>
      </c>
      <c r="E103" s="7" t="inlineStr"/>
      <c r="F103" s="8" t="inlineStr"/>
      <c r="G103" s="7" t="inlineStr"/>
      <c r="H103" s="7" t="inlineStr">
        <is>
          <t>No</t>
        </is>
      </c>
      <c r="I103" s="7" t="inlineStr"/>
      <c r="J103" s="8" t="inlineStr">
        <is>
          <t>'Compass' is a scatter. When 'Gold Inca' substitutes in a winning combination and reveals a multiplier, the pay for that winning combination is multiplied by the revealed multiplier.</t>
        </is>
      </c>
      <c r="K103" s="8" t="inlineStr">
        <is>
          <t>Gold Inca x2/x3 substitute multiplier (free games, summed)</t>
        </is>
      </c>
      <c r="L103" s="8" t="inlineStr">
        <is>
          <t>multiplies the winning-combination pay (win-based)</t>
        </is>
      </c>
      <c r="M103" s="7" t="inlineStr">
        <is>
          <t>high</t>
        </is>
      </c>
      <c r="N103" s="7" t="inlineStr">
        <is>
          <t>Legends of The Incas NON-SAP A560 INT Cpf1.doc</t>
        </is>
      </c>
      <c r="O103" s="8" t="inlineStr">
        <is>
          <t>Compass scatter triggers free games. Gold Inca is a win-based multiplier.</t>
        </is>
      </c>
    </row>
    <row r="104">
      <c r="A104" s="7" t="inlineStr">
        <is>
          <t>Light Em Up</t>
        </is>
      </c>
      <c r="B104" s="7" t="inlineStr">
        <is>
          <t>no</t>
        </is>
      </c>
      <c r="C104" s="7" t="inlineStr"/>
      <c r="D104" s="7" t="inlineStr">
        <is>
          <t>none</t>
        </is>
      </c>
      <c r="E104" s="7" t="inlineStr"/>
      <c r="F104" s="8" t="inlineStr"/>
      <c r="G104" s="7" t="inlineStr"/>
      <c r="H104" s="7" t="inlineStr">
        <is>
          <t>No</t>
        </is>
      </c>
      <c r="I104" s="7" t="inlineStr">
        <is>
          <t>30</t>
        </is>
      </c>
      <c r="J104" s="8" t="inlineStr">
        <is>
          <t>'Light em Up' is a scatter. When only one 'Lady x2' or 'Lady x3' substitutes in a winning combination, the prize for that winning combination is multiplied by x2 or x3 respectively.</t>
        </is>
      </c>
      <c r="K104" s="8" t="inlineStr">
        <is>
          <t>Lady x1/x2/x3 substitute multipliers (free games, product of values)</t>
        </is>
      </c>
      <c r="L104" s="8" t="inlineStr">
        <is>
          <t>multiplies the winning-combination prize (win-based)</t>
        </is>
      </c>
      <c r="M104" s="7" t="inlineStr">
        <is>
          <t>high</t>
        </is>
      </c>
      <c r="N104" s="7" t="inlineStr">
        <is>
          <t>Light Em Up_ A560_RGS_Rev B.doc</t>
        </is>
      </c>
      <c r="O104" s="8" t="inlineStr">
        <is>
          <t>'Light em Up' scatter triggers free games. Lady multipliers are win-based.</t>
        </is>
      </c>
    </row>
    <row r="105">
      <c r="A105" s="7" t="inlineStr">
        <is>
          <t>LongAndHappyLife</t>
        </is>
      </c>
      <c r="B105" s="7" t="inlineStr">
        <is>
          <t>yes</t>
        </is>
      </c>
      <c r="C105" s="7" t="inlineStr">
        <is>
          <t>'Pan Chang' (prize scatter)</t>
        </is>
      </c>
      <c r="D105" s="7" t="inlineStr">
        <is>
          <t>total_bet</t>
        </is>
      </c>
      <c r="E105" s="10" t="inlineStr">
        <is>
          <t>TotalBet</t>
        </is>
      </c>
      <c r="F105" s="8" t="inlineStr">
        <is>
          <t>x total bet</t>
        </is>
      </c>
      <c r="G105" s="7" t="inlineStr"/>
      <c r="H105" s="7" t="inlineStr">
        <is>
          <t>No</t>
        </is>
      </c>
      <c r="I105" s="7" t="inlineStr">
        <is>
          <t>50</t>
        </is>
      </c>
      <c r="J105" s="8" t="inlineStr">
        <is>
          <t>'Pan Chang' always appears on screen with a random 'Pan Chang' Prize of 200, 100, 50, 20, 15, 10, 5, 3, 2 or 1 multiplied by total credits bet, MAJOR, MINOR or MINI Bonus as displayed.</t>
        </is>
      </c>
      <c r="K105" s="8" t="inlineStr">
        <is>
          <t>MAJOR/MINOR/MINI bonus (awarded as a Pan Chang prize, fixed)</t>
        </is>
      </c>
      <c r="L105" s="8" t="inlineStr">
        <is>
          <t>fixed bonus prize values</t>
        </is>
      </c>
      <c r="M105" s="7" t="inlineStr">
        <is>
          <t>high</t>
        </is>
      </c>
      <c r="N105" s="7" t="inlineStr">
        <is>
          <t>Long and Happy Life _AGT_RGS_RevA.DOC</t>
        </is>
      </c>
      <c r="O105" s="8" t="inlineStr">
        <is>
          <t>'Turtle' is a normal scatter. 'Pan Chang' is the value-displaying prize scatter, base = total credits bet (also appears in templated section as AGT_STR_03 multiplied by total credits bet).</t>
        </is>
      </c>
    </row>
    <row r="106">
      <c r="A106" s="7" t="inlineStr">
        <is>
          <t>Lucky 8 Emperor</t>
        </is>
      </c>
      <c r="B106" s="7" t="inlineStr">
        <is>
          <t>yes</t>
        </is>
      </c>
      <c r="C106" s="7" t="inlineStr">
        <is>
          <t>'LUCKY 8' and 'GONG' (prize scatters)</t>
        </is>
      </c>
      <c r="D106" s="7" t="inlineStr">
        <is>
          <t>total_bet</t>
        </is>
      </c>
      <c r="E106" s="10" t="inlineStr">
        <is>
          <t>TotalBet</t>
        </is>
      </c>
      <c r="F106" s="8" t="inlineStr">
        <is>
          <t>x total credits bet</t>
        </is>
      </c>
      <c r="G106" s="7" t="inlineStr"/>
      <c r="H106" s="7" t="inlineStr">
        <is>
          <t>No</t>
        </is>
      </c>
      <c r="I106" s="7" t="inlineStr">
        <is>
          <t>50</t>
        </is>
      </c>
      <c r="J106" s="8" t="inlineStr">
        <is>
          <t>'LUCKY 8' always appears on screen with a random LUCKY 8 Prize of 1, 2, 3, 5, 10, 15, 20, 50, 100 or 200 multiplied by total credits bet, MAJOR, MINOR, MINI Bonus as displayed.</t>
        </is>
      </c>
      <c r="K106" s="8" t="inlineStr">
        <is>
          <t>MAJOR/MINOR/MINI, GRAND/MAJOR bonuses (fixed prizes)</t>
        </is>
      </c>
      <c r="L106" s="8" t="inlineStr">
        <is>
          <t>fixed bonus prize values</t>
        </is>
      </c>
      <c r="M106" s="7" t="inlineStr">
        <is>
          <t>high</t>
        </is>
      </c>
      <c r="N106" s="7" t="inlineStr">
        <is>
          <t>Lucky 8 Emperor_AGT_RGS_RevA.doc</t>
        </is>
      </c>
      <c r="O106" s="8" t="inlineStr">
        <is>
          <t>'LUCKY 8' and 'GONG' prize scatters both multiplied by total credits bet.</t>
        </is>
      </c>
    </row>
    <row r="107">
      <c r="A107" s="7" t="inlineStr">
        <is>
          <t>LuckyBreakMulti_GrandEmperor</t>
        </is>
      </c>
      <c r="B107" s="7" t="inlineStr">
        <is>
          <t>yes</t>
        </is>
      </c>
      <c r="C107" s="7" t="inlineStr">
        <is>
          <t>'Coin' (prize scatter)</t>
        </is>
      </c>
      <c r="D107" s="7" t="inlineStr">
        <is>
          <t>total_bet</t>
        </is>
      </c>
      <c r="E107" s="10" t="inlineStr">
        <is>
          <t>TotalBet</t>
        </is>
      </c>
      <c r="F107" s="8" t="inlineStr">
        <is>
          <t>x total bet</t>
        </is>
      </c>
      <c r="G107" s="7" t="inlineStr"/>
      <c r="H107" s="7" t="inlineStr">
        <is>
          <t>No</t>
        </is>
      </c>
      <c r="I107" s="7" t="inlineStr">
        <is>
          <t>100</t>
        </is>
      </c>
      <c r="J107" s="8" t="inlineStr">
        <is>
          <t>'Coin' symbol always appears on screen with a random Prize of 1, 2, 3, 5, 10, 12, 15, or 20 multiplied by total bet as displayed. When 'Coin' appears inside a ringX2, the original prize will be multiplied by 2 and awarded.</t>
        </is>
      </c>
      <c r="K107" s="8" t="inlineStr">
        <is>
          <t>ring / ringX2 / ringX3 / ringX5 (feature)</t>
        </is>
      </c>
      <c r="L107" s="8" t="inlineStr">
        <is>
          <t>multiplies the displayed Coin prize (prize-based)</t>
        </is>
      </c>
      <c r="M107" s="7" t="inlineStr">
        <is>
          <t>high</t>
        </is>
      </c>
      <c r="N107" s="7" t="inlineStr">
        <is>
          <t>GrandEmperor_AGT_RGS_RevA.doc</t>
        </is>
      </c>
      <c r="O107" s="8" t="inlineStr">
        <is>
          <t>Coin scatter prize base = total bet. Rings multiply the already-bet-derived Coin prize.</t>
        </is>
      </c>
    </row>
    <row r="108">
      <c r="A108" s="7" t="inlineStr">
        <is>
          <t>LuckyBreakMulti_NorseLegend</t>
        </is>
      </c>
      <c r="B108" s="7" t="inlineStr">
        <is>
          <t>yes</t>
        </is>
      </c>
      <c r="C108" s="7" t="inlineStr">
        <is>
          <t>'Coin' (prize scatter)</t>
        </is>
      </c>
      <c r="D108" s="7" t="inlineStr">
        <is>
          <t>total_bet</t>
        </is>
      </c>
      <c r="E108" s="10" t="inlineStr">
        <is>
          <t>TotalBet</t>
        </is>
      </c>
      <c r="F108" s="8" t="inlineStr">
        <is>
          <t>x total bet</t>
        </is>
      </c>
      <c r="G108" s="7" t="inlineStr"/>
      <c r="H108" s="7" t="inlineStr">
        <is>
          <t>No</t>
        </is>
      </c>
      <c r="I108" s="7" t="inlineStr">
        <is>
          <t>100</t>
        </is>
      </c>
      <c r="J108" s="8" t="inlineStr">
        <is>
          <t>'Coin' symbol always appears on screen with a random Prize of 1, 2, 3, 5, 10, 12, 15, or 20 multiplied by total bet as displayed. When 'Coin' appears inside a ringX2, the original prize will be multiplied by 2 and awarded.</t>
        </is>
      </c>
      <c r="K108" s="8" t="inlineStr">
        <is>
          <t>ring / ringX2 / ringX3 / ringX5 (feature)</t>
        </is>
      </c>
      <c r="L108" s="8" t="inlineStr">
        <is>
          <t>multiplies the displayed Coin prize (prize-based)</t>
        </is>
      </c>
      <c r="M108" s="7" t="inlineStr">
        <is>
          <t>high</t>
        </is>
      </c>
      <c r="N108" s="7" t="inlineStr">
        <is>
          <t>NorseLegend_AGT_RGS_RevC.doc</t>
        </is>
      </c>
      <c r="O108" s="8" t="inlineStr">
        <is>
          <t>Coin scatter prize base = total bet. Rings multiply the displayed Coin prize.</t>
        </is>
      </c>
    </row>
    <row r="109">
      <c r="A109" s="7" t="inlineStr">
        <is>
          <t>LuckyBreak_DragonWaves</t>
        </is>
      </c>
      <c r="B109" s="7" t="inlineStr">
        <is>
          <t>yes</t>
        </is>
      </c>
      <c r="C109" s="7" t="inlineStr">
        <is>
          <t>'Coin' (prize scatter)</t>
        </is>
      </c>
      <c r="D109" s="7" t="inlineStr">
        <is>
          <t>total_bet</t>
        </is>
      </c>
      <c r="E109" s="10" t="inlineStr">
        <is>
          <t>TotalBet</t>
        </is>
      </c>
      <c r="F109" s="8" t="inlineStr">
        <is>
          <t>x total credits bet</t>
        </is>
      </c>
      <c r="G109" s="7" t="inlineStr">
        <is>
          <t>player-selectable lines</t>
        </is>
      </c>
      <c r="H109" s="7" t="inlineStr">
        <is>
          <t>No</t>
        </is>
      </c>
      <c r="I109" s="7" t="inlineStr">
        <is>
          <t>100</t>
        </is>
      </c>
      <c r="J109" s="8" t="inlineStr">
        <is>
          <t>'Coin' is a scatter. Scatter wins are multiplied by the total credits bet. Possible Rings of Fortune Prizes appearing during the Rings of Fortune Feature are 1, 2, 3 or 5 multiplied by total credits bet OR Grand, Major, Maxi, Minor or Mini as displayed.</t>
        </is>
      </c>
      <c r="K109" s="8" t="inlineStr">
        <is>
          <t>Grand/Major/Maxi/Minor/Mini bonus (fixed prizes)</t>
        </is>
      </c>
      <c r="L109" s="8" t="inlineStr">
        <is>
          <t>fixed bonus prize values</t>
        </is>
      </c>
      <c r="M109" s="7" t="inlineStr">
        <is>
          <t>high</t>
        </is>
      </c>
      <c r="N109" s="7" t="inlineStr">
        <is>
          <t>DragonWaves_AGT_RGS_RevA.doc</t>
        </is>
      </c>
      <c r="O109" s="8" t="inlineStr">
        <is>
          <t>Coin prize base = total credits bet.</t>
        </is>
      </c>
    </row>
    <row r="110">
      <c r="A110" s="7" t="inlineStr">
        <is>
          <t>LuckyBreak_GrandCircus</t>
        </is>
      </c>
      <c r="B110" s="7" t="inlineStr">
        <is>
          <t>yes</t>
        </is>
      </c>
      <c r="C110" s="7" t="inlineStr">
        <is>
          <t>'LuckyBreak' (prize scatter); 'Tent' also a scatter</t>
        </is>
      </c>
      <c r="D110" s="7" t="inlineStr">
        <is>
          <t>total_bet</t>
        </is>
      </c>
      <c r="E110" s="10" t="inlineStr">
        <is>
          <t>TotalBet</t>
        </is>
      </c>
      <c r="F110" s="8" t="inlineStr">
        <is>
          <t>x total bet</t>
        </is>
      </c>
      <c r="G110" s="7" t="inlineStr"/>
      <c r="H110" s="7" t="inlineStr">
        <is>
          <t>No</t>
        </is>
      </c>
      <c r="I110" s="7" t="inlineStr">
        <is>
          <t>100</t>
        </is>
      </c>
      <c r="J110" s="8" t="inlineStr">
        <is>
          <t>'LuckyBreak' symbol always appears on screen with a random Prize of 1, 2, 3, 5, or 10 multiplied by total bet as displayed during the paid games and Free Games Feature only.</t>
        </is>
      </c>
      <c r="K110" s="8" t="inlineStr">
        <is>
          <t>Multiplier x2WILD / x3WILD (reel 3); Grand/Major/Maxi/Minor/Mini bonus (fixed)</t>
        </is>
      </c>
      <c r="L110" s="8" t="inlineStr">
        <is>
          <t>x2/x3 wilds multiply the line win (win-based); bonuses fixed</t>
        </is>
      </c>
      <c r="M110" s="7" t="inlineStr">
        <is>
          <t>high</t>
        </is>
      </c>
      <c r="N110" s="7" t="inlineStr">
        <is>
          <t>GrandCircus_AGT_RGS_RevA.doc</t>
        </is>
      </c>
      <c r="O110" s="8" t="inlineStr">
        <is>
          <t>LuckyBreak prize base = total bet (also in templated section AGT_STR_02 multiplied by total bet). Wild x2/x3 are separate win-based multipliers.</t>
        </is>
      </c>
    </row>
    <row r="111">
      <c r="A111" s="7" t="inlineStr">
        <is>
          <t>LuckyBreak_Krakatoa</t>
        </is>
      </c>
      <c r="B111" s="7" t="inlineStr">
        <is>
          <t>yes</t>
        </is>
      </c>
      <c r="C111" s="7" t="inlineStr">
        <is>
          <t>'LuckyBreak' (prize scatter)</t>
        </is>
      </c>
      <c r="D111" s="7" t="inlineStr">
        <is>
          <t>total_bet</t>
        </is>
      </c>
      <c r="E111" s="10" t="inlineStr">
        <is>
          <t>TotalBet</t>
        </is>
      </c>
      <c r="F111" s="8" t="inlineStr">
        <is>
          <t>x total bet</t>
        </is>
      </c>
      <c r="G111" s="7" t="inlineStr"/>
      <c r="H111" s="7" t="inlineStr">
        <is>
          <t>No</t>
        </is>
      </c>
      <c r="I111" s="7" t="inlineStr">
        <is>
          <t>30</t>
        </is>
      </c>
      <c r="J111" s="8" t="inlineStr">
        <is>
          <t>'LuckyBreak' symbol always appears on screen with a random Prize of 1, 2, 3, 5, 10, 20, 50 or 100 multiplied by total bet OR with Major, Maxi, Minor or Mini Bonuses as displayed during the paid games and Free Games Feature only.</t>
        </is>
      </c>
      <c r="K111" s="8" t="inlineStr">
        <is>
          <t>Multiplier Substitute x2/x3 (reel 3); Grand/Major/Maxi/Minor/Mini bonus (fixed)</t>
        </is>
      </c>
      <c r="L111" s="8" t="inlineStr">
        <is>
          <t>x2/x3 multiplier substitute multiplies the line win (win-based); bonuses fixed</t>
        </is>
      </c>
      <c r="M111" s="7" t="inlineStr">
        <is>
          <t>high</t>
        </is>
      </c>
      <c r="N111" s="7" t="inlineStr">
        <is>
          <t>Krakatoa_AGT_RGS_RevA.doc</t>
        </is>
      </c>
      <c r="O111" s="8" t="inlineStr">
        <is>
          <t>LuckyBreak prize base = total bet.</t>
        </is>
      </c>
    </row>
    <row r="112">
      <c r="A112" s="7" t="inlineStr">
        <is>
          <t>LuckyBreak_Last Dragon</t>
        </is>
      </c>
      <c r="B112" s="7" t="inlineStr">
        <is>
          <t>yes</t>
        </is>
      </c>
      <c r="C112" s="7" t="inlineStr">
        <is>
          <t>'Coin' (prize scatter)</t>
        </is>
      </c>
      <c r="D112" s="7" t="inlineStr">
        <is>
          <t>total_bet</t>
        </is>
      </c>
      <c r="E112" s="10" t="inlineStr">
        <is>
          <t>TotalBet</t>
        </is>
      </c>
      <c r="F112" s="8" t="inlineStr">
        <is>
          <t>x total bet</t>
        </is>
      </c>
      <c r="G112" s="7" t="inlineStr"/>
      <c r="H112" s="7" t="inlineStr">
        <is>
          <t>No</t>
        </is>
      </c>
      <c r="I112" s="7" t="inlineStr">
        <is>
          <t>30</t>
        </is>
      </c>
      <c r="J112" s="8" t="inlineStr">
        <is>
          <t>'Coin' symbol always appears on screen with a random Prize of 1, 2, 3, 5, 10, 20, 50 or 100 multiplied by total bet OR with MAJOR, MAXI, MINOR or MINI Bonuses as displayed during the paid games and LAST DRAGON FEATURE only.</t>
        </is>
      </c>
      <c r="K112" s="8" t="inlineStr">
        <is>
          <t>WILDx2 / WILDx3 (line win); Grand/Major/Maxi/Minor/Mini bonus (fixed)</t>
        </is>
      </c>
      <c r="L112" s="8" t="inlineStr">
        <is>
          <t>WILDx2/x3 multiply the winning amount (win-based); bonuses fixed</t>
        </is>
      </c>
      <c r="M112" s="7" t="inlineStr">
        <is>
          <t>high</t>
        </is>
      </c>
      <c r="N112" s="7" t="inlineStr">
        <is>
          <t>LastDragon_AGT_RGS_RevA.doc</t>
        </is>
      </c>
      <c r="O112" s="8" t="inlineStr">
        <is>
          <t>Coin prize base = total bet.</t>
        </is>
      </c>
    </row>
    <row r="113">
      <c r="A113" s="7" t="inlineStr">
        <is>
          <t>LuckyBreak_LaughingDragon</t>
        </is>
      </c>
      <c r="B113" s="7" t="inlineStr">
        <is>
          <t>yes</t>
        </is>
      </c>
      <c r="C113" s="7" t="inlineStr">
        <is>
          <t>'LuckyBreak' (prize scatter)</t>
        </is>
      </c>
      <c r="D113" s="7" t="inlineStr">
        <is>
          <t>total_bet</t>
        </is>
      </c>
      <c r="E113" s="10" t="inlineStr">
        <is>
          <t>TotalBet</t>
        </is>
      </c>
      <c r="F113" s="8" t="inlineStr">
        <is>
          <t>x total bet</t>
        </is>
      </c>
      <c r="G113" s="7" t="inlineStr"/>
      <c r="H113" s="7" t="inlineStr">
        <is>
          <t>No</t>
        </is>
      </c>
      <c r="I113" s="7" t="inlineStr">
        <is>
          <t>100</t>
        </is>
      </c>
      <c r="J113" s="8" t="inlineStr">
        <is>
          <t>'LuckyBreak' symbol always appears on screen with a random Prize of 1, 2, 3, 5, 10, 12, 15, 20, 50 or 100 multiplied by total bet as displayed during the paid games only.</t>
        </is>
      </c>
      <c r="K113" s="8" t="inlineStr">
        <is>
          <t>Grand/Major/Maxi/Minor/Mini bonus (fixed, via ring)</t>
        </is>
      </c>
      <c r="L113" s="8" t="inlineStr">
        <is>
          <t>fixed bonus prize values; ring awards the displayed prize (no numeric multiply)</t>
        </is>
      </c>
      <c r="M113" s="7" t="inlineStr">
        <is>
          <t>high</t>
        </is>
      </c>
      <c r="N113" s="7" t="inlineStr">
        <is>
          <t>LaughingDragon_AGT_RGS_RevB.doc</t>
        </is>
      </c>
      <c r="O113" s="8" t="inlineStr">
        <is>
          <t>LuckyBreak prize base = total bet. Ring awards displayed prize; no ringX multiplier.</t>
        </is>
      </c>
    </row>
    <row r="114">
      <c r="A114" s="7" t="inlineStr">
        <is>
          <t>LuckyBreak_Rob The Bank</t>
        </is>
      </c>
      <c r="B114" s="7" t="inlineStr">
        <is>
          <t>yes</t>
        </is>
      </c>
      <c r="C114" s="7" t="inlineStr">
        <is>
          <t>'Coin' and 'MoneyBags' (prize symbols); 'Bank'/'Bank MoneyBag'/'Bank Coin' scatters</t>
        </is>
      </c>
      <c r="D114" s="7" t="inlineStr">
        <is>
          <t>total_bet</t>
        </is>
      </c>
      <c r="E114" s="10" t="inlineStr">
        <is>
          <t>TotalBet</t>
        </is>
      </c>
      <c r="F114" s="8" t="inlineStr">
        <is>
          <t>x total bet</t>
        </is>
      </c>
      <c r="G114" s="7" t="inlineStr"/>
      <c r="H114" s="7" t="inlineStr">
        <is>
          <t>No</t>
        </is>
      </c>
      <c r="I114" s="7" t="inlineStr">
        <is>
          <t>100</t>
        </is>
      </c>
      <c r="J114" s="8" t="inlineStr">
        <is>
          <t>'Coin' symbol always appears on screen with a random Prize of 1, 2, 3, 5, 10, 20, 25 or 50 multiplied by total bet OR with 'GRAND', 'MAJOR', 'MAXI', 'MINOR' or 'MINI' as displayed. 'MoneyBags' symbol always appears on screen with a random Prize of 1, 2, 3, 5, 10, 20, or 50 multiplied by total bet.</t>
        </is>
      </c>
      <c r="K114" s="8" t="inlineStr">
        <is>
          <t>Grand/Major/Maxi/Minor/Mini bonus (fixed, via ring)</t>
        </is>
      </c>
      <c r="L114" s="8" t="inlineStr">
        <is>
          <t>fixed bonus prize values; ring awards the displayed prize</t>
        </is>
      </c>
      <c r="M114" s="7" t="inlineStr">
        <is>
          <t>high</t>
        </is>
      </c>
      <c r="N114" s="7" t="inlineStr">
        <is>
          <t>Rob The Bank_AGT_RGS_RevA.doc</t>
        </is>
      </c>
      <c r="O114" s="8" t="inlineStr">
        <is>
          <t>Coin and MoneyBags prizes both multiplied by total bet.</t>
        </is>
      </c>
    </row>
    <row r="115">
      <c r="A115" s="7" t="inlineStr">
        <is>
          <t>Magic Rewards</t>
        </is>
      </c>
      <c r="B115" s="7" t="inlineStr">
        <is>
          <t>no</t>
        </is>
      </c>
      <c r="C115" s="7" t="inlineStr"/>
      <c r="D115" s="7" t="inlineStr">
        <is>
          <t>none</t>
        </is>
      </c>
      <c r="E115" s="7" t="inlineStr"/>
      <c r="F115" s="8" t="inlineStr"/>
      <c r="G115" s="7" t="inlineStr">
        <is>
          <t>numLines=25</t>
        </is>
      </c>
      <c r="H115" s="7" t="inlineStr">
        <is>
          <t>No</t>
        </is>
      </c>
      <c r="I115" s="7" t="inlineStr">
        <is>
          <t>25</t>
        </is>
      </c>
      <c r="J115" s="8" t="inlineStr">
        <is>
          <t>'Gloves' is a scatter. Any 3 or more scatters trigger 8 free games.</t>
        </is>
      </c>
      <c r="K115" s="8" t="inlineStr">
        <is>
          <t>none (Magician transforms symbols to Wild/Wild Gloves, no numeric multiplier)</t>
        </is>
      </c>
      <c r="L115" s="8" t="inlineStr"/>
      <c r="M115" s="7" t="inlineStr">
        <is>
          <t>high</t>
        </is>
      </c>
      <c r="N115" s="7" t="inlineStr">
        <is>
          <t>Magic Rewards_AGT_RGS_RevF.doc</t>
        </is>
      </c>
      <c r="O115" s="8" t="inlineStr">
        <is>
          <t>Gloves scatter triggers free games only. Magician/Wild Gloves are wild transformations, not value multipliers. No bet-multiplied prize.</t>
        </is>
      </c>
    </row>
    <row r="116">
      <c r="A116" s="7" t="inlineStr">
        <is>
          <t>MagnetStorm Stormin7s</t>
        </is>
      </c>
      <c r="B116" s="7" t="inlineStr">
        <is>
          <t>yes</t>
        </is>
      </c>
      <c r="C116" s="7" t="inlineStr">
        <is>
          <t>'Silver Orb' / 'Rainbow Orb' prize symbols (revealed when 'Magnet'/Super Magnet strikes orbs); scatter 'Tornado' itself only triggers feature</t>
        </is>
      </c>
      <c r="D116" s="7" t="inlineStr">
        <is>
          <t>total_bet</t>
        </is>
      </c>
      <c r="E116" s="10" t="inlineStr">
        <is>
          <t>TotalBet</t>
        </is>
      </c>
      <c r="F116" s="8" t="inlineStr">
        <is>
          <t>x total bet</t>
        </is>
      </c>
      <c r="G116" s="7" t="inlineStr">
        <is>
          <t>numLines=50, static multiplier=75</t>
        </is>
      </c>
      <c r="H116" s="7" t="inlineStr">
        <is>
          <t>No</t>
        </is>
      </c>
      <c r="I116" s="7" t="inlineStr">
        <is>
          <t>50</t>
        </is>
      </c>
      <c r="J116" s="8" t="inlineStr">
        <is>
          <t>When 'Green orb' is stricken, it reveals a random 'Silver Orb' prize of 1, 2, 3, 4, 5, 8 or 10 multiplied by total bet, or one of the Super Magnet symbols. ... 'Rainbow Orb' with top prizes of 60, 70, 75 ... multiplied by total bet</t>
        </is>
      </c>
      <c r="K116" s="8" t="inlineStr">
        <is>
          <t>UPGRADE upgrades revealed Silver Orb to next-level prize (still x total bet); wilds are substitutes (no multiplier)</t>
        </is>
      </c>
      <c r="L116" s="8" t="inlineStr">
        <is>
          <t>prize values remain multiples of total bet</t>
        </is>
      </c>
      <c r="M116" s="7" t="inlineStr">
        <is>
          <t>high</t>
        </is>
      </c>
      <c r="N116" s="7" t="inlineStr">
        <is>
          <t>MagnetStormStormin7s_RevA.doc</t>
        </is>
      </c>
      <c r="O116" s="8" t="inlineStr">
        <is>
          <t>Orb prize symbols display values explicitly 'multiplied by total bet' -&gt; total_bet base. Static multiplier '75' relates bet-per-line to total bet (all bet options x75). The true scatter (Tornado) only triggers the 5-free-game feature and pays no prize; the bet-multiplied values are on Silver/Rainbow Orb prize symbols, not classic scatters.</t>
        </is>
      </c>
    </row>
    <row r="117">
      <c r="A117" s="7" t="inlineStr">
        <is>
          <t>MagnetStormChiliChihuahua</t>
        </is>
      </c>
      <c r="B117" s="7" t="inlineStr">
        <is>
          <t>yes</t>
        </is>
      </c>
      <c r="C117" s="7" t="inlineStr">
        <is>
          <t>'Silver Orb' / 'Rainbow Orb' prize symbols (revealed by 'Magnet'/Super Magnet strikes); scatter 'Tornado' only triggers feature</t>
        </is>
      </c>
      <c r="D117" s="7" t="inlineStr">
        <is>
          <t>total_bet</t>
        </is>
      </c>
      <c r="E117" s="10" t="inlineStr">
        <is>
          <t>TotalBet</t>
        </is>
      </c>
      <c r="F117" s="8" t="inlineStr">
        <is>
          <t>x total bet</t>
        </is>
      </c>
      <c r="G117" s="7" t="inlineStr">
        <is>
          <t>numLines=50, static multiplier=75</t>
        </is>
      </c>
      <c r="H117" s="7" t="inlineStr">
        <is>
          <t>No</t>
        </is>
      </c>
      <c r="I117" s="7" t="inlineStr">
        <is>
          <t>50</t>
        </is>
      </c>
      <c r="J117" s="8" t="inlineStr">
        <is>
          <t>When 'Orange orb' is stricken, it reveals a random 'Silver Orb' prize of 1, 2, 3, 4, 5, 8 or 10 multiplied by total bet, or one of the Super Magnet symbols.</t>
        </is>
      </c>
      <c r="K117" s="8" t="inlineStr">
        <is>
          <t>UPGRADE upgrades revealed Silver Orb prize (still x total bet); wilds substitute only</t>
        </is>
      </c>
      <c r="L117" s="8" t="inlineStr">
        <is>
          <t>prize values remain multiples of total bet</t>
        </is>
      </c>
      <c r="M117" s="7" t="inlineStr">
        <is>
          <t>high</t>
        </is>
      </c>
      <c r="N117" s="7" t="inlineStr">
        <is>
          <t>MagnetStormChiliChihuahua_RevA.doc</t>
        </is>
      </c>
      <c r="O117" s="8" t="inlineStr">
        <is>
          <t>Same Magnet Storm engine as Stormin7s/Dragon Charm. Orb prizes explicitly 'multiplied by total bet'. Static multiplier '75' converts bet-per-line to total bet. Tornado scatter only triggers feature.</t>
        </is>
      </c>
    </row>
    <row r="118">
      <c r="A118" s="7" t="inlineStr">
        <is>
          <t>MagnetStormSuperSquirrel</t>
        </is>
      </c>
      <c r="B118" s="7" t="inlineStr">
        <is>
          <t>yes</t>
        </is>
      </c>
      <c r="C118" s="7" t="inlineStr">
        <is>
          <t>'Silver Orb' / 'Rainbow Orb' prize symbols (revealed by 'Magnet'/Super Magnet strikes); scatter 'Tornado' only triggers feature</t>
        </is>
      </c>
      <c r="D118" s="7" t="inlineStr">
        <is>
          <t>total_bet</t>
        </is>
      </c>
      <c r="E118" s="10" t="inlineStr">
        <is>
          <t>TotalBet</t>
        </is>
      </c>
      <c r="F118" s="8" t="inlineStr">
        <is>
          <t>x total bet</t>
        </is>
      </c>
      <c r="G118" s="7" t="inlineStr">
        <is>
          <t>numLines=50, static multiplier=75</t>
        </is>
      </c>
      <c r="H118" s="7" t="inlineStr">
        <is>
          <t>No</t>
        </is>
      </c>
      <c r="I118" s="7" t="inlineStr">
        <is>
          <t>50</t>
        </is>
      </c>
      <c r="J118" s="8" t="inlineStr">
        <is>
          <t>When 'Green orb' is stricken, it reveals a random 'Silver Orb' prize of 1, 2, 3, 4, 5, 8 or 10 multiplied by total bet, or one of the Super Magnet symbols.</t>
        </is>
      </c>
      <c r="K118" s="8" t="inlineStr">
        <is>
          <t>UPGRADE upgrades revealed Silver Orb prize (still x total bet); wilds substitute only</t>
        </is>
      </c>
      <c r="L118" s="8" t="inlineStr">
        <is>
          <t>prize values remain multiples of total bet</t>
        </is>
      </c>
      <c r="M118" s="7" t="inlineStr">
        <is>
          <t>high</t>
        </is>
      </c>
      <c r="N118" s="7" t="inlineStr">
        <is>
          <t>MagnetStormSuperSquirrel_RevA.doc</t>
        </is>
      </c>
      <c r="O118" s="8" t="inlineStr">
        <is>
          <t>Same Magnet Storm engine. Orb prizes 'multiplied by total bet'. Static multiplier '75'. Tornado scatter only triggers feature.</t>
        </is>
      </c>
    </row>
    <row r="119">
      <c r="A119" s="7" t="inlineStr">
        <is>
          <t>Magneto Storm Dragon Charm</t>
        </is>
      </c>
      <c r="B119" s="7" t="inlineStr">
        <is>
          <t>yes</t>
        </is>
      </c>
      <c r="C119" s="7" t="inlineStr">
        <is>
          <t>'Silver Orb' / 'Rainbow Orb' prize symbols (revealed by 'Magnet'/Super Magnet strikes); scatter 'Tornado' only triggers feature</t>
        </is>
      </c>
      <c r="D119" s="7" t="inlineStr">
        <is>
          <t>total_bet</t>
        </is>
      </c>
      <c r="E119" s="10" t="inlineStr">
        <is>
          <t>TotalBet</t>
        </is>
      </c>
      <c r="F119" s="8" t="inlineStr">
        <is>
          <t>x total bet</t>
        </is>
      </c>
      <c r="G119" s="7" t="inlineStr">
        <is>
          <t>numLines=50, static multiplier=75</t>
        </is>
      </c>
      <c r="H119" s="7" t="inlineStr">
        <is>
          <t>No</t>
        </is>
      </c>
      <c r="I119" s="7" t="inlineStr">
        <is>
          <t>50</t>
        </is>
      </c>
      <c r="J119" s="8" t="inlineStr">
        <is>
          <t>When 'Green orb' is stricken, it reveals a random 'Silver Orb' prize of 1, 2, 3, 4, 5, 8 or 10 multiplied by total bet, or one of the Super Magnet symbols.</t>
        </is>
      </c>
      <c r="K119" s="8" t="inlineStr">
        <is>
          <t>UPGRADE upgrades revealed Silver Orb prize (still x total bet); wilds substitute only</t>
        </is>
      </c>
      <c r="L119" s="8" t="inlineStr">
        <is>
          <t>prize values remain multiples of total bet</t>
        </is>
      </c>
      <c r="M119" s="7" t="inlineStr">
        <is>
          <t>high</t>
        </is>
      </c>
      <c r="N119" s="7" t="inlineStr">
        <is>
          <t>MagnetStormDragonCharm_RevA.doc</t>
        </is>
      </c>
      <c r="O119" s="8" t="inlineStr">
        <is>
          <t>Base template of the Magnet Storm clones. Orb prizes 'multiplied by total bet'. Static multiplier '75'. Tornado scatter only triggers feature. RTP 95.16%.</t>
        </is>
      </c>
    </row>
    <row r="120">
      <c r="A120" s="7" t="inlineStr">
        <is>
          <t>Mayan Beauty (Quad Shot)</t>
        </is>
      </c>
      <c r="B120" s="7" t="inlineStr">
        <is>
          <t>no</t>
        </is>
      </c>
      <c r="C120" s="7" t="inlineStr">
        <is>
          <t>'Icon' is a scatter but pays from paytable (not a displayed bet-multiple prize)</t>
        </is>
      </c>
      <c r="D120" s="7" t="inlineStr">
        <is>
          <t>none</t>
        </is>
      </c>
      <c r="E120" s="7" t="inlineStr"/>
      <c r="F120" s="8" t="inlineStr"/>
      <c r="G120" s="7" t="inlineStr">
        <is>
          <t>numLines=40 or 50 (line/fixed versions)</t>
        </is>
      </c>
      <c r="H120" s="7" t="inlineStr">
        <is>
          <t>No</t>
        </is>
      </c>
      <c r="I120" s="7" t="inlineStr">
        <is>
          <t>50</t>
        </is>
      </c>
      <c r="J120" s="8" t="inlineStr">
        <is>
          <t>'Icon' is a scatter. ... Scatter wins are multiplied by the total credits bet. ... Line wins multiplied by credits bet per line, except Progressives.</t>
        </is>
      </c>
      <c r="K120" s="8" t="inlineStr">
        <is>
          <t>none (Quad Shot triggers SAP/LAP Progressives; no win multipliers)</t>
        </is>
      </c>
      <c r="L120" s="8" t="inlineStr">
        <is>
          <t>n/a</t>
        </is>
      </c>
      <c r="M120" s="7" t="inlineStr">
        <is>
          <t>high</t>
        </is>
      </c>
      <c r="N120" s="7" t="inlineStr">
        <is>
          <t>Mayan Beauty A560 INT Rev Fpf1.doc</t>
        </is>
      </c>
      <c r="O120" s="8" t="inlineStr">
        <is>
          <t>Classic A560 spec. 'Scatter wins are multiplied by the total credits bet' is the standard scatter-pay rule (paytable credits x total bet), not a scatter multiplier symbol displaying a bet-multiple prize. Progressives via Quad Shot.</t>
        </is>
      </c>
    </row>
    <row r="121">
      <c r="A121" s="7" t="inlineStr">
        <is>
          <t>Mayan Gold</t>
        </is>
      </c>
      <c r="B121" s="7" t="inlineStr">
        <is>
          <t>no</t>
        </is>
      </c>
      <c r="C121" s="7" t="inlineStr">
        <is>
          <t>'Dollar' is a scatter (triggers free games, pays from paytable)</t>
        </is>
      </c>
      <c r="D121" s="7" t="inlineStr">
        <is>
          <t>none</t>
        </is>
      </c>
      <c r="E121" s="7" t="inlineStr"/>
      <c r="F121" s="8" t="inlineStr"/>
      <c r="G121" s="7" t="inlineStr">
        <is>
          <t>numLines up to 100</t>
        </is>
      </c>
      <c r="H121" s="7" t="inlineStr">
        <is>
          <t>No</t>
        </is>
      </c>
      <c r="I121" s="7" t="inlineStr">
        <is>
          <t>100</t>
        </is>
      </c>
      <c r="J121" s="8" t="inlineStr">
        <is>
          <t>'Dollar' is a scatter. ... All prizes for winning combinations with 'x2 Wild' or 'x3 Wild' are multiplied by 2 or 3 respectively.</t>
        </is>
      </c>
      <c r="K121" s="8" t="inlineStr">
        <is>
          <t>x2 Wild / x3 Wild in Free Games Feature (reel 3 replaced by x2/x3 Wilds)</t>
        </is>
      </c>
      <c r="L121" s="8" t="inlineStr">
        <is>
          <t>multiplies the line/combination win (win-based)</t>
        </is>
      </c>
      <c r="M121" s="7" t="inlineStr">
        <is>
          <t>high</t>
        </is>
      </c>
      <c r="N121" s="7" t="inlineStr">
        <is>
          <t>Mayan_Gold_AGT_RGS_Rev d.doc</t>
        </is>
      </c>
      <c r="O121" s="8" t="inlineStr">
        <is>
          <t>No scatter multiplier. Only feature win-multiplier wilds (x2/x3) that multiply winning combinations.</t>
        </is>
      </c>
    </row>
    <row r="122">
      <c r="A122" s="7" t="inlineStr">
        <is>
          <t>MidnightFiesta</t>
        </is>
      </c>
      <c r="B122" s="7" t="inlineStr">
        <is>
          <t>yes</t>
        </is>
      </c>
      <c r="C122" s="7" t="inlineStr">
        <is>
          <t>'EMPTY CANDY' instant-prize symbols in SWEETS FEATURE (scatter 'Sc' only triggers the feature)</t>
        </is>
      </c>
      <c r="D122" s="7" t="inlineStr">
        <is>
          <t>static_multiplier</t>
        </is>
      </c>
      <c r="E122" s="11" t="inlineStr">
        <is>
          <t>LineBetFromStaticMultiplier</t>
        </is>
      </c>
      <c r="F122" s="8" t="inlineStr">
        <is>
          <t>numLines=50, static=75 -&gt; prize x N x 50 x bet-per-line = total_bet*50/75</t>
        </is>
      </c>
      <c r="G122" s="7" t="inlineStr">
        <is>
          <t>numLines=50, static multiplier=75</t>
        </is>
      </c>
      <c r="H122" s="7" t="inlineStr">
        <is>
          <t>No</t>
        </is>
      </c>
      <c r="I122" s="7" t="inlineStr">
        <is>
          <t>50</t>
        </is>
      </c>
      <c r="J122" s="8" t="inlineStr">
        <is>
          <t>When character with 'INSTANT PRIZES' is triggered, more 'EMPTY CANDY' with random Prize of 1, 2, 3, 5, 8, 10, 25, 50 or 75 multiplied by 50 times of the bet value, will be revealed in the 'SWEETS FEATURE'.</t>
        </is>
      </c>
      <c r="K122" s="8" t="inlineStr">
        <is>
          <t>WILDx2 / WILDx3 / WILDx5 candy wilds in feature</t>
        </is>
      </c>
      <c r="L122" s="8" t="inlineStr">
        <is>
          <t>multiplies the line-win amount by each displayed multiplier (win-based)</t>
        </is>
      </c>
      <c r="M122" s="7" t="inlineStr">
        <is>
          <t>high</t>
        </is>
      </c>
      <c r="N122" s="7" t="inlineStr">
        <is>
          <t>MidnightFiesta_RevA.doc</t>
        </is>
      </c>
      <c r="O122" s="8" t="inlineStr">
        <is>
          <t>'All available bet options are multiplied by static multiplier 75' + prize 'multiplied by 50 times of the bet value' (50=numLines). Base = total_bet*50/75 (static-multiplier ratio). Bonus MINI/MAXI/GRAND collected separately.</t>
        </is>
      </c>
    </row>
    <row r="123">
      <c r="A123" s="7" t="inlineStr">
        <is>
          <t>MidnightMoney_MLG</t>
        </is>
      </c>
      <c r="B123" s="7" t="inlineStr">
        <is>
          <t>yes</t>
        </is>
      </c>
      <c r="C123" s="7" t="inlineStr">
        <is>
          <t>'CASH STACK' symbols (scatters, MIDNIGHT CASH feature). GREEN/RED/BLUE PHOTO scatters only trigger features</t>
        </is>
      </c>
      <c r="D123" s="7" t="inlineStr">
        <is>
          <t>static_multiplier</t>
        </is>
      </c>
      <c r="E123" s="11" t="inlineStr">
        <is>
          <t>LineBetFromStaticMultiplier</t>
        </is>
      </c>
      <c r="F123" s="8" t="inlineStr">
        <is>
          <t>numLines=20, static=30 -&gt; prize x N x 20 x bet-per-line = total_bet*20/30</t>
        </is>
      </c>
      <c r="G123" s="7" t="inlineStr">
        <is>
          <t>numLines=20, static multiplier=30</t>
        </is>
      </c>
      <c r="H123" s="7" t="inlineStr">
        <is>
          <t>No</t>
        </is>
      </c>
      <c r="I123" s="7" t="inlineStr">
        <is>
          <t>20</t>
        </is>
      </c>
      <c r="J123" s="8" t="inlineStr">
        <is>
          <t>CASH STACK symbols are scatters and MIDNIGHT CASH symbols, which award random Prize of 1, 2, 3, 5, 8, 10, 25, 50 or 75 multiplied by 20 times of the bet per line value and only be available for those feature games which are associated with MIDNIGHT CASH feature.</t>
        </is>
      </c>
      <c r="K123" s="8" t="inlineStr">
        <is>
          <t>none (WILD substitutes only)</t>
        </is>
      </c>
      <c r="L123" s="8" t="inlineStr">
        <is>
          <t>n/a</t>
        </is>
      </c>
      <c r="M123" s="7" t="inlineStr">
        <is>
          <t>high</t>
        </is>
      </c>
      <c r="N123" s="7" t="inlineStr">
        <is>
          <t>MidnightMoney_RevA.doc</t>
        </is>
      </c>
      <c r="O123" s="8" t="inlineStr">
        <is>
          <t>'All available bet options are multiplied by static multiplier 30' + CASH STACK prize 'multiplied by 20 times of the bet per line value' (20=numLines). Base = total_bet*20/30 (static-multiplier ratio). Clone of Big Thunder MegaLoot.</t>
        </is>
      </c>
    </row>
    <row r="124">
      <c r="A124" s="7" t="inlineStr">
        <is>
          <t>Mighty Wilds</t>
        </is>
      </c>
      <c r="B124" s="7" t="inlineStr">
        <is>
          <t>no</t>
        </is>
      </c>
      <c r="C124" s="7" t="inlineStr">
        <is>
          <t>'Eye' is a scatter (pays from paytable, triggers free games)</t>
        </is>
      </c>
      <c r="D124" s="7" t="inlineStr">
        <is>
          <t>none</t>
        </is>
      </c>
      <c r="E124" s="7" t="inlineStr"/>
      <c r="F124" s="8" t="inlineStr"/>
      <c r="G124" s="7" t="inlineStr">
        <is>
          <t>numLines=30</t>
        </is>
      </c>
      <c r="H124" s="7" t="inlineStr">
        <is>
          <t>No</t>
        </is>
      </c>
      <c r="I124" s="7" t="inlineStr">
        <is>
          <t>30</t>
        </is>
      </c>
      <c r="J124" s="8" t="inlineStr">
        <is>
          <t>'Eye' is a scatter. ... When 'x2', 'x3' or 'x5' appears anywhere on the bonus reel all wins for that game are multiplied by the bonus symbol multiplier, as displayed.</t>
        </is>
      </c>
      <c r="K124" s="8" t="inlineStr">
        <is>
          <t>x2 / x3 / x5 bonus-reel symbols in Free Games Feature</t>
        </is>
      </c>
      <c r="L124" s="8" t="inlineStr">
        <is>
          <t>multiplies all wins for that game (win-based)</t>
        </is>
      </c>
      <c r="M124" s="7" t="inlineStr">
        <is>
          <t>high</t>
        </is>
      </c>
      <c r="N124" s="7" t="inlineStr">
        <is>
          <t>Mighty Wilds A560_INT_Rev B pf1.doc</t>
        </is>
      </c>
      <c r="O124" s="8" t="inlineStr">
        <is>
          <t>No scatter multiplier. Feature has a bonus reel with x2/x3/x5 that multiply the whole game's wins (win-based).</t>
        </is>
      </c>
    </row>
    <row r="125">
      <c r="A125" s="7" t="inlineStr">
        <is>
          <t>MineshaftMegaLoot_MLC</t>
        </is>
      </c>
      <c r="B125" s="7" t="inlineStr">
        <is>
          <t>yes</t>
        </is>
      </c>
      <c r="C125" s="7" t="inlineStr">
        <is>
          <t>'PRIZES' symbols (scatters, CASH LOOT feature). Emerald/Gold/Ruby scatters only trigger features</t>
        </is>
      </c>
      <c r="D125" s="7" t="inlineStr">
        <is>
          <t>static_multiplier</t>
        </is>
      </c>
      <c r="E125" s="11" t="inlineStr">
        <is>
          <t>LineBetFromStaticMultiplier</t>
        </is>
      </c>
      <c r="F125" s="8" t="inlineStr">
        <is>
          <t>numLines=50, static=75 -&gt; prize x N x 50 x bet-per-line = total_bet*50/75</t>
        </is>
      </c>
      <c r="G125" s="7" t="inlineStr">
        <is>
          <t>numLines=50, static multiplier=75</t>
        </is>
      </c>
      <c r="H125" s="7" t="inlineStr">
        <is>
          <t>No</t>
        </is>
      </c>
      <c r="I125" s="7" t="inlineStr">
        <is>
          <t>50</t>
        </is>
      </c>
      <c r="J125" s="8" t="inlineStr">
        <is>
          <t>PRIZES are scatters and CASH LOOT symbols which award random prizes of 1, 2, 3, 5, 8, 10, 25, 50 or 75 multiplied by 50 times of the bet per line value and only be available for those feature games which are associated with CASH LOOT feature.</t>
        </is>
      </c>
      <c r="K125" s="8" t="inlineStr">
        <is>
          <t>none (WILD substitutes only)</t>
        </is>
      </c>
      <c r="L125" s="8" t="inlineStr">
        <is>
          <t>n/a</t>
        </is>
      </c>
      <c r="M125" s="7" t="inlineStr">
        <is>
          <t>high</t>
        </is>
      </c>
      <c r="N125" s="7" t="inlineStr">
        <is>
          <t>MineshaftMegaLoot_RevA.doc</t>
        </is>
      </c>
      <c r="O125" s="8" t="inlineStr">
        <is>
          <t>'All available bet options are multiplied by static multiplier 75' + PRIZES 'multiplied by 50 times of the bet per line value' (50=numLines). Base = total_bet*50/75 (static-multiplier ratio). Clone of Big Thunder MegaLoot.</t>
        </is>
      </c>
    </row>
    <row r="126">
      <c r="A126" s="7" t="inlineStr">
        <is>
          <t>Ming Warrior</t>
        </is>
      </c>
      <c r="B126" s="7" t="inlineStr">
        <is>
          <t>no</t>
        </is>
      </c>
      <c r="C126" s="7" t="inlineStr">
        <is>
          <t>'Coin' is a scatter (pays from paytable, triggers free games)</t>
        </is>
      </c>
      <c r="D126" s="7" t="inlineStr">
        <is>
          <t>none</t>
        </is>
      </c>
      <c r="E126" s="7" t="inlineStr"/>
      <c r="F126" s="8" t="inlineStr"/>
      <c r="G126" s="7" t="inlineStr">
        <is>
          <t>numLines=20</t>
        </is>
      </c>
      <c r="H126" s="7" t="inlineStr">
        <is>
          <t>No</t>
        </is>
      </c>
      <c r="I126" s="7" t="inlineStr">
        <is>
          <t>20</t>
        </is>
      </c>
      <c r="J126" s="8" t="inlineStr">
        <is>
          <t>'Coin' is a scatter. ... if one or more 'Warrior' substitutes in a win, the pay for that win is doubled (x2). ... multiplied by 8 (x8).</t>
        </is>
      </c>
      <c r="K126" s="8" t="inlineStr">
        <is>
          <t>'Warrior' wild x2 (Free Games Feature 1) / x8 (Free Games Feature 2)</t>
        </is>
      </c>
      <c r="L126" s="8" t="inlineStr">
        <is>
          <t>multiplies the win the wild participates in (win-based)</t>
        </is>
      </c>
      <c r="M126" s="7" t="inlineStr">
        <is>
          <t>high</t>
        </is>
      </c>
      <c r="N126" s="7" t="inlineStr">
        <is>
          <t>Ming Warrior A560 INT Dpf2.doc</t>
        </is>
      </c>
      <c r="O126" s="8" t="inlineStr">
        <is>
          <t>'Coin' scatter pays from paytable only. Win-multiplier is the Warrior wild (x2 or x8) inside free games.</t>
        </is>
      </c>
    </row>
    <row r="127">
      <c r="A127" s="7" t="inlineStr">
        <is>
          <t>MingWarriorRingsOfFortune</t>
        </is>
      </c>
      <c r="B127" s="7" t="inlineStr">
        <is>
          <t>yes</t>
        </is>
      </c>
      <c r="C127" s="7" t="inlineStr">
        <is>
          <t>'Gold Coin' / 'Orange Coin' coin symbols (display prize values); also scatters that trigger HOLD'nSPIN</t>
        </is>
      </c>
      <c r="D127" s="7" t="inlineStr">
        <is>
          <t>static_multiplier</t>
        </is>
      </c>
      <c r="E127" s="11" t="inlineStr">
        <is>
          <t>LineBetFromStaticMultiplier</t>
        </is>
      </c>
      <c r="F127" s="8" t="inlineStr">
        <is>
          <t>numLines=20, static=30 -&gt; prize x N x 20 x bet-per-line = total_bet*20/30</t>
        </is>
      </c>
      <c r="G127" s="7" t="inlineStr">
        <is>
          <t>numLines=20, static multiplier=30</t>
        </is>
      </c>
      <c r="H127" s="7" t="inlineStr">
        <is>
          <t>No</t>
        </is>
      </c>
      <c r="I127" s="7" t="inlineStr">
        <is>
          <t>20</t>
        </is>
      </c>
      <c r="J127" s="8" t="inlineStr">
        <is>
          <t>Coin symbols always appear on screen with a random Prize of 1, 2, 3, 5, 8, 12, 15, 20 or 25 multiplied by 20 times of the bet per line value, OR MAXI or MINI, as displayed.</t>
        </is>
      </c>
      <c r="K127" s="8" t="inlineStr">
        <is>
          <t>FrameX2 / FrameX3 / FrameX5 in RINGS OF FORTUNE HOLD'nSPIN (Gold Coin inside a frame)</t>
        </is>
      </c>
      <c r="L127" s="8" t="inlineStr">
        <is>
          <t>multiplies the displayed coin prize by 2/3/5 (prize-based)</t>
        </is>
      </c>
      <c r="M127" s="7" t="inlineStr">
        <is>
          <t>high</t>
        </is>
      </c>
      <c r="N127" s="7" t="inlineStr">
        <is>
          <t>MingWarriorRingsOfFortune_RevA.doc</t>
        </is>
      </c>
      <c r="O127" s="8" t="inlineStr">
        <is>
          <t>'All available bet options are multiplied by static multiplier 30' + coin prize 'multiplied by 20 times of the bet per line value' (20=numLines). Base = total_bet*20/30 (static-multiplier ratio). Hold-and-spin coin game; FrameX2/3/5 further multiply the displayed coin prize.</t>
        </is>
      </c>
    </row>
    <row r="128">
      <c r="A128" s="7" t="inlineStr">
        <is>
          <t>MiyokoTripleShot</t>
        </is>
      </c>
      <c r="B128" s="7" t="inlineStr">
        <is>
          <t>no</t>
        </is>
      </c>
      <c r="C128" s="7" t="inlineStr">
        <is>
          <t>Coins (Sticky/Bonus/Extra Free Games Coins) are scatters that only trigger features; no displayed bet-multiple prize</t>
        </is>
      </c>
      <c r="D128" s="7" t="inlineStr">
        <is>
          <t>none</t>
        </is>
      </c>
      <c r="E128" s="7" t="inlineStr"/>
      <c r="F128" s="8" t="inlineStr"/>
      <c r="G128" s="7" t="inlineStr">
        <is>
          <t>numLines=50 (AnteBet 75)</t>
        </is>
      </c>
      <c r="H128" s="7" t="inlineStr">
        <is>
          <t>No</t>
        </is>
      </c>
      <c r="I128" s="7" t="inlineStr">
        <is>
          <t>50</t>
        </is>
      </c>
      <c r="J128" s="8" t="inlineStr">
        <is>
          <t>Coins are scatters. ... Any combination of 1 or more [Sticky Free Games Coin][Bonus Free Games Coin][Extra Free Games Coin] may randomly trigger 8 Free Games.</t>
        </is>
      </c>
      <c r="K128" s="8" t="inlineStr">
        <is>
          <t>none</t>
        </is>
      </c>
      <c r="L128" s="8" t="inlineStr">
        <is>
          <t>n/a</t>
        </is>
      </c>
      <c r="M128" s="7" t="inlineStr">
        <is>
          <t>high</t>
        </is>
      </c>
      <c r="N128" s="7" t="inlineStr">
        <is>
          <t>MiyokoTripleShot.docx</t>
        </is>
      </c>
      <c r="O128" s="8" t="inlineStr">
        <is>
          <t>Clone of San Fa Dragons. No scatter multiplier / no bet-multiplied prize symbol; bonus is a MINI/MINOR/MAXI/MAJOR/GRAND collection game. No 'multiplied by bet' prize wording anywhere. AnteBet 75 shown but no prize tied to it.</t>
        </is>
      </c>
    </row>
    <row r="129">
      <c r="A129" s="7" t="inlineStr">
        <is>
          <t>Money Heat</t>
        </is>
      </c>
      <c r="B129" s="7" t="inlineStr">
        <is>
          <t>no</t>
        </is>
      </c>
      <c r="C129" s="7" t="inlineStr">
        <is>
          <t>'Coin' is a scatter (pays from paytable, triggers free games)</t>
        </is>
      </c>
      <c r="D129" s="7" t="inlineStr">
        <is>
          <t>none</t>
        </is>
      </c>
      <c r="E129" s="7" t="inlineStr"/>
      <c r="F129" s="8" t="inlineStr"/>
      <c r="G129" s="7" t="inlineStr">
        <is>
          <t>numLines up to 20/30</t>
        </is>
      </c>
      <c r="H129" s="7" t="inlineStr">
        <is>
          <t>No</t>
        </is>
      </c>
      <c r="I129" s="7" t="inlineStr">
        <is>
          <t>30</t>
        </is>
      </c>
      <c r="J129" s="8" t="inlineStr">
        <is>
          <t>'Coin' is a scatter. ... When 'Gold Dollar' substitutes in winning combination, the prize is randomly multiplied by x2, x3 or x5 as displayed. ... When 'x2','x3' or 'x5' appears anywhere on the bonus reel all wins for that game are multiplied by the bonus symbol multiplier.</t>
        </is>
      </c>
      <c r="K129" s="8" t="inlineStr">
        <is>
          <t>'Gold Dollar' wild x2/x3/x5 and bonus-reel x2/x3/x5 (Free Games Feature)</t>
        </is>
      </c>
      <c r="L129" s="8" t="inlineStr">
        <is>
          <t>multiplies the win / all wins for the game (win-based)</t>
        </is>
      </c>
      <c r="M129" s="7" t="inlineStr">
        <is>
          <t>high</t>
        </is>
      </c>
      <c r="N129" s="7" t="inlineStr">
        <is>
          <t>Money Heat AGT_RGS_Rev B pf1.doc</t>
        </is>
      </c>
      <c r="O129" s="8" t="inlineStr">
        <is>
          <t>No scatter multiplier. Feature win multipliers only (Gold Dollar wild x2/x3/x5, bonus-reel x2/x3/x5).</t>
        </is>
      </c>
    </row>
    <row r="130">
      <c r="A130" s="7" t="inlineStr">
        <is>
          <t>Money Web</t>
        </is>
      </c>
      <c r="B130" s="7" t="inlineStr">
        <is>
          <t>no</t>
        </is>
      </c>
      <c r="C130" s="7" t="inlineStr">
        <is>
          <t>'Diamond' is a scatter (pays from paytable, triggers free games)</t>
        </is>
      </c>
      <c r="D130" s="7" t="inlineStr">
        <is>
          <t>none</t>
        </is>
      </c>
      <c r="E130" s="7" t="inlineStr"/>
      <c r="F130" s="8" t="inlineStr"/>
      <c r="G130" s="7" t="inlineStr">
        <is>
          <t>numLines=100</t>
        </is>
      </c>
      <c r="H130" s="7" t="inlineStr">
        <is>
          <t>No</t>
        </is>
      </c>
      <c r="I130" s="7" t="inlineStr">
        <is>
          <t>100</t>
        </is>
      </c>
      <c r="J130" s="8" t="inlineStr">
        <is>
          <t>'Diamond' is a scatter. ... Scatter wins and line wins are added.</t>
        </is>
      </c>
      <c r="K130" s="8" t="inlineStr">
        <is>
          <t>none (Notes symbol-replacement wild only)</t>
        </is>
      </c>
      <c r="L130" s="8" t="inlineStr">
        <is>
          <t>n/a</t>
        </is>
      </c>
      <c r="M130" s="7" t="inlineStr">
        <is>
          <t>high</t>
        </is>
      </c>
      <c r="N130" s="7" t="inlineStr">
        <is>
          <t>Money_Web_AGT_RGS_Rev_A.doc</t>
        </is>
      </c>
      <c r="O130" s="8" t="inlineStr">
        <is>
          <t>No scatter multiplier and no win multipliers; 'Notes' just replaces reels with wilds.</t>
        </is>
      </c>
    </row>
    <row r="131">
      <c r="A131" s="7" t="inlineStr">
        <is>
          <t>Money from Mars</t>
        </is>
      </c>
      <c r="B131" s="7" t="inlineStr">
        <is>
          <t>yes</t>
        </is>
      </c>
      <c r="C131" s="7" t="inlineStr">
        <is>
          <t>'Orange Bag' (Free Games) and 'Purple Bag' (Money Bags Feature) money-bag prize symbols; 'Medallion' scatter only triggers features</t>
        </is>
      </c>
      <c r="D131" s="7" t="inlineStr">
        <is>
          <t>total_bet</t>
        </is>
      </c>
      <c r="E131" s="10" t="inlineStr">
        <is>
          <t>TotalBet</t>
        </is>
      </c>
      <c r="F131" s="8" t="inlineStr">
        <is>
          <t>x total bet</t>
        </is>
      </c>
      <c r="G131" s="7" t="inlineStr">
        <is>
          <t>numLines=50</t>
        </is>
      </c>
      <c r="H131" s="7" t="inlineStr">
        <is>
          <t>No</t>
        </is>
      </c>
      <c r="I131" s="7" t="inlineStr">
        <is>
          <t>50</t>
        </is>
      </c>
      <c r="J131" s="8" t="inlineStr">
        <is>
          <t>Each 'Orange Bag' appearing awards a random Money Bag Prize of 1, 2, 3, 5, 10, 25 or 50 multiplied by total bet, as displayed. ... Each 'Purple Bag' appearing awards a random Money Bag Prize of 1, 2, 3, 5, 10, 25 ,50, 100 or 250 multiplied by total bet OR Major Bonus OR Minor Bonus, as displayed.</t>
        </is>
      </c>
      <c r="K131" s="8" t="inlineStr">
        <is>
          <t>'MedallionX2'/'MedallionHitX2' wild (doubles win); Free Games global x2/x3/x5 multipliers on all wins except Money Bag Prizes</t>
        </is>
      </c>
      <c r="L131" s="8" t="inlineStr">
        <is>
          <t>win-based (double / x2-x3-x5 on line wins)</t>
        </is>
      </c>
      <c r="M131" s="7" t="inlineStr">
        <is>
          <t>high</t>
        </is>
      </c>
      <c r="N131" s="7" t="inlineStr">
        <is>
          <t>Money from Mars_AGT_RGS_RevA.docx</t>
        </is>
      </c>
      <c r="O131" s="8" t="inlineStr">
        <is>
          <t>TechSpec-style doc with AGT placeholders, but a resolved GAME RULES section confirms values. Money Bag prize symbols explicitly 'multiplied by total bet' -&gt; total_bet base. Medallion scatter itself pays from paytable / triggers feature.</t>
        </is>
      </c>
    </row>
    <row r="132">
      <c r="A132" s="7" t="inlineStr">
        <is>
          <t>Moon Chief</t>
        </is>
      </c>
      <c r="B132" s="7" t="inlineStr">
        <is>
          <t>no</t>
        </is>
      </c>
      <c r="C132" s="7" t="inlineStr">
        <is>
          <t>'Moon' is a scatter (pays from paytable, triggers free games)</t>
        </is>
      </c>
      <c r="D132" s="7" t="inlineStr">
        <is>
          <t>none</t>
        </is>
      </c>
      <c r="E132" s="7" t="inlineStr"/>
      <c r="F132" s="8" t="inlineStr"/>
      <c r="G132" s="7" t="inlineStr">
        <is>
          <t>numLines=100</t>
        </is>
      </c>
      <c r="H132" s="7" t="inlineStr">
        <is>
          <t>No</t>
        </is>
      </c>
      <c r="I132" s="7" t="inlineStr">
        <is>
          <t>100</t>
        </is>
      </c>
      <c r="J132" s="8" t="inlineStr">
        <is>
          <t>'Moon' is a scatter. ... When 'Shield' appears, it is held ... with 'Shield' multipliers of x2 or x5 ... All prizes for winning combinations with 'Shield' multiplier substituting are multiplied by the 'Shield' multiplier as displayed.</t>
        </is>
      </c>
      <c r="K132" s="8" t="inlineStr">
        <is>
          <t>'Shield' wild multiplier x2/x5 in Free Games Feature</t>
        </is>
      </c>
      <c r="L132" s="8" t="inlineStr">
        <is>
          <t>multiplies winning combinations the Shield substitutes in (win-based)</t>
        </is>
      </c>
      <c r="M132" s="7" t="inlineStr">
        <is>
          <t>high</t>
        </is>
      </c>
      <c r="N132" s="7" t="inlineStr">
        <is>
          <t>Moon Chief AGT_RGS_Rev A.doc</t>
        </is>
      </c>
      <c r="O132" s="8" t="inlineStr">
        <is>
          <t>No scatter multiplier. Win-based Shield wild multiplier (x2/x5) in the feature.</t>
        </is>
      </c>
    </row>
    <row r="133">
      <c r="A133" s="7" t="inlineStr">
        <is>
          <t>Moon Dancer</t>
        </is>
      </c>
      <c r="B133" s="7" t="inlineStr">
        <is>
          <t>no</t>
        </is>
      </c>
      <c r="C133" s="7" t="inlineStr">
        <is>
          <t>'Wheel' is a scatter that triggers a bonus Wheel Feature (segment prize values; base not tied to bet in rules)</t>
        </is>
      </c>
      <c r="D133" s="7" t="inlineStr">
        <is>
          <t>none</t>
        </is>
      </c>
      <c r="E133" s="7" t="inlineStr"/>
      <c r="F133" s="8" t="inlineStr"/>
      <c r="G133" s="7" t="inlineStr">
        <is>
          <t>numLines=50</t>
        </is>
      </c>
      <c r="H133" s="7" t="inlineStr">
        <is>
          <t>No</t>
        </is>
      </c>
      <c r="I133" s="7" t="inlineStr">
        <is>
          <t>50</t>
        </is>
      </c>
      <c r="J133" s="8" t="inlineStr">
        <is>
          <t>When the Wheel Feature is triggered with 5 or more 'Wheel' symbols, the value shown in the winning segment is multiplied by the appropriate multiplier (X) ... When ... 6 'Wheel', the value ... multiplied by 2 ... 7 or 8 'Wheel' ... multiplied by 5.</t>
        </is>
      </c>
      <c r="K133" s="8" t="inlineStr">
        <is>
          <t>Wheel segment multiplier x2/x5 (by number of Wheels); Wild x2/x3/x5 in Lucky Multiplier Bonus Spin</t>
        </is>
      </c>
      <c r="L133" s="8" t="inlineStr">
        <is>
          <t>Wheel multiplier scales the wheel segment value; Wild x2/x3/x5 multiply the winning combination (win-based)</t>
        </is>
      </c>
      <c r="M133" s="7" t="inlineStr">
        <is>
          <t>medium</t>
        </is>
      </c>
      <c r="N133" s="7" t="inlineStr">
        <is>
          <t>Moon Dancer_AGT_RGS_RevA.docx</t>
        </is>
      </c>
      <c r="O133" s="8" t="inlineStr">
        <is>
          <t>No classic scatter-multiplier prize symbol. Wheel Feature awards a segment value scaled x2/x5 by wheel-trigger count; the rules do not state the wheel segment values as a bet multiple, so no bet-derived scatter base. Also win-based Wild x2/x3/x5 multipliers.</t>
        </is>
      </c>
    </row>
    <row r="134">
      <c r="A134" s="7" t="inlineStr">
        <is>
          <t>Moon Money QS</t>
        </is>
      </c>
      <c r="B134" s="7" t="inlineStr">
        <is>
          <t>no</t>
        </is>
      </c>
      <c r="C134" s="7" t="inlineStr">
        <is>
          <t>'Moon Money' is a scatter (pays from paytable, triggers free games)</t>
        </is>
      </c>
      <c r="D134" s="7" t="inlineStr">
        <is>
          <t>none</t>
        </is>
      </c>
      <c r="E134" s="7" t="inlineStr"/>
      <c r="F134" s="8" t="inlineStr"/>
      <c r="G134" s="7" t="inlineStr">
        <is>
          <t>numLines=40 or 50</t>
        </is>
      </c>
      <c r="H134" s="7" t="inlineStr">
        <is>
          <t>No</t>
        </is>
      </c>
      <c r="I134" s="7" t="inlineStr">
        <is>
          <t>40</t>
        </is>
      </c>
      <c r="J134" s="8" t="inlineStr">
        <is>
          <t>'Moon Money' is a scatter. ... Scatter wins are multiplied by the total credits bet. ... Line wins multiplied by credits bet per line, except progressives.</t>
        </is>
      </c>
      <c r="K134" s="8" t="inlineStr">
        <is>
          <t>none (Quad Shot triggers SAP/LAP Progressives)</t>
        </is>
      </c>
      <c r="L134" s="8" t="inlineStr">
        <is>
          <t>n/a</t>
        </is>
      </c>
      <c r="M134" s="7" t="inlineStr">
        <is>
          <t>high</t>
        </is>
      </c>
      <c r="N134" s="7" t="inlineStr">
        <is>
          <t>Moon Money QS A560 INT rev B pf 1.doc</t>
        </is>
      </c>
      <c r="O134" s="8" t="inlineStr">
        <is>
          <t>Classic A560 spec. 'Scatter wins are multiplied by the total credits bet' is the standard scatter-pay rule (paytable credits x total bet), not a scatter-multiplier symbol. Progressives via Quad Shot.</t>
        </is>
      </c>
    </row>
    <row r="135">
      <c r="A135" s="7" t="inlineStr">
        <is>
          <t>Motza Magic</t>
        </is>
      </c>
      <c r="B135" s="7" t="inlineStr">
        <is>
          <t>no</t>
        </is>
      </c>
      <c r="C135" s="7" t="inlineStr">
        <is>
          <t>'Dollar' is a scatter (pays from paytable, triggers free games)</t>
        </is>
      </c>
      <c r="D135" s="7" t="inlineStr">
        <is>
          <t>none</t>
        </is>
      </c>
      <c r="E135" s="7" t="inlineStr"/>
      <c r="F135" s="8" t="inlineStr"/>
      <c r="G135" s="7" t="inlineStr">
        <is>
          <t>numLines=100</t>
        </is>
      </c>
      <c r="H135" s="7" t="inlineStr">
        <is>
          <t>No</t>
        </is>
      </c>
      <c r="I135" s="7" t="inlineStr">
        <is>
          <t>100</t>
        </is>
      </c>
      <c r="J135" s="8" t="inlineStr">
        <is>
          <t>'Dollar' is a scatter. ... When 'Whopper Wild' appears anywhere on reel 3, all game symbols on reels 3, 4 and 5 are replaced by 'Wild' except 'Dollar' which is replaced by 'Dollar Wild'.</t>
        </is>
      </c>
      <c r="K135" s="8" t="inlineStr">
        <is>
          <t>none (Whopper/Mega Whopper Wild replace symbols with wilds; Cash Rose reveals symbols)</t>
        </is>
      </c>
      <c r="L135" s="8" t="inlineStr">
        <is>
          <t>n/a</t>
        </is>
      </c>
      <c r="M135" s="7" t="inlineStr">
        <is>
          <t>high</t>
        </is>
      </c>
      <c r="N135" s="7" t="inlineStr">
        <is>
          <t>Motza_Magic_AGT_RGS_Rev B pf1.doc</t>
        </is>
      </c>
      <c r="O135" s="8" t="inlineStr">
        <is>
          <t>Whopper Reels game; no scatter multiplier and no win multipliers (Whopper Wilds only convert symbols to wilds).</t>
        </is>
      </c>
    </row>
    <row r="136">
      <c r="A136" s="7" t="inlineStr">
        <is>
          <t>Mustang Money 2 Energized</t>
        </is>
      </c>
      <c r="B136" s="7" t="inlineStr">
        <is>
          <t>no</t>
        </is>
      </c>
      <c r="C136" s="7" t="inlineStr">
        <is>
          <t>'Horse' scatter (also substitute); 'Mustang Money 2 Energized' scatter triggers feature</t>
        </is>
      </c>
      <c r="D136" s="7" t="inlineStr">
        <is>
          <t>none</t>
        </is>
      </c>
      <c r="E136" s="7" t="inlineStr"/>
      <c r="F136" s="8" t="inlineStr"/>
      <c r="G136" s="7" t="inlineStr">
        <is>
          <t>numLines=20</t>
        </is>
      </c>
      <c r="H136" s="7" t="inlineStr">
        <is>
          <t>No</t>
        </is>
      </c>
      <c r="I136" s="7" t="inlineStr">
        <is>
          <t>20</t>
        </is>
      </c>
      <c r="J136" s="8" t="inlineStr">
        <is>
          <t>'Horse' is a scatter and a substitute. ... 'Mustang Money 2 Energized' is a scatter. It appears on reels 1 and 5 only ... 2 'Mustang Money 2 Energized' trigger the 'Mustang Money 2 Energized Feature'.</t>
        </is>
      </c>
      <c r="K136" s="8" t="inlineStr">
        <is>
          <t>none</t>
        </is>
      </c>
      <c r="L136" s="8" t="inlineStr">
        <is>
          <t>n/a</t>
        </is>
      </c>
      <c r="M136" s="7" t="inlineStr">
        <is>
          <t>high</t>
        </is>
      </c>
      <c r="N136" s="7" t="inlineStr">
        <is>
          <t>MustangMoney_2_Energized_AGT_RevA.doc</t>
        </is>
      </c>
      <c r="O136" s="8" t="inlineStr">
        <is>
          <t>No scatter multiplier / no bet-multiplied prize symbol; scatters pay from paytable and trigger features.</t>
        </is>
      </c>
    </row>
    <row r="137">
      <c r="A137" s="7" t="inlineStr">
        <is>
          <t>Mustang Money 2</t>
        </is>
      </c>
      <c r="B137" s="7" t="inlineStr">
        <is>
          <t>no</t>
        </is>
      </c>
      <c r="C137" s="7" t="inlineStr">
        <is>
          <t>'Horse' scatter; 'Mustang Money' scatter in feature pays a fixed 1x total credits bet</t>
        </is>
      </c>
      <c r="D137" s="7" t="inlineStr">
        <is>
          <t>none</t>
        </is>
      </c>
      <c r="E137" s="7" t="inlineStr"/>
      <c r="F137" s="8" t="inlineStr"/>
      <c r="G137" s="7" t="inlineStr">
        <is>
          <t>numLines=20</t>
        </is>
      </c>
      <c r="H137" s="7" t="inlineStr">
        <is>
          <t>No</t>
        </is>
      </c>
      <c r="I137" s="7" t="inlineStr">
        <is>
          <t>20</t>
        </is>
      </c>
      <c r="J137" s="8" t="inlineStr">
        <is>
          <t>'Horse' is a scatter. ... During the Free Games Feature, 2 of a kind scattered 'Mustang Money' pays 1 multiplied by the total credits bet.</t>
        </is>
      </c>
      <c r="K137" s="8" t="inlineStr">
        <is>
          <t>none</t>
        </is>
      </c>
      <c r="L137" s="8" t="inlineStr">
        <is>
          <t>n/a</t>
        </is>
      </c>
      <c r="M137" s="7" t="inlineStr">
        <is>
          <t>medium</t>
        </is>
      </c>
      <c r="N137" s="7" t="inlineStr">
        <is>
          <t>Mustang Money2_Tech Spec_INT 560 nonSAP Rev D pro forma 1.doc</t>
        </is>
      </c>
      <c r="O137" s="8" t="inlineStr">
        <is>
          <t>No variable scatter-multiplier prize symbol. Note: in the Free Games Feature, a 2-of-a-kind 'Mustang Money' scatter pays a FIXED '1 multiplied by the total credits bet' (a fixed scatter pay tied to total bet), not a displayed variable 1,2,3.. prize. Treated as none for scatter multiplier.</t>
        </is>
      </c>
    </row>
    <row r="138">
      <c r="A138" s="7" t="inlineStr">
        <is>
          <t>Mustang Money Energized</t>
        </is>
      </c>
      <c r="B138" s="7" t="inlineStr">
        <is>
          <t>no</t>
        </is>
      </c>
      <c r="C138" s="7" t="inlineStr">
        <is>
          <t>'Mustang Money' is a scatter (pays from paytable, triggers feature)</t>
        </is>
      </c>
      <c r="D138" s="7" t="inlineStr">
        <is>
          <t>none</t>
        </is>
      </c>
      <c r="E138" s="7" t="inlineStr"/>
      <c r="F138" s="8" t="inlineStr"/>
      <c r="G138" s="7" t="inlineStr">
        <is>
          <t>numLines=100</t>
        </is>
      </c>
      <c r="H138" s="7" t="inlineStr">
        <is>
          <t>No</t>
        </is>
      </c>
      <c r="I138" s="7" t="inlineStr">
        <is>
          <t>100</t>
        </is>
      </c>
      <c r="J138" s="8" t="inlineStr">
        <is>
          <t>'Mustang Money' is a scatter. ... when 'Coin' on reel 2 substitutes in a winning combination, the prize is randomly multiplied by x1 or x2 ... 'Coin' on reel 4 ... multiplied by x1 or x5 as displayed.</t>
        </is>
      </c>
      <c r="K138" s="8" t="inlineStr">
        <is>
          <t>'Coin' wild multiplier x1/x2 (reel 2) and x1/x5 (reel 4) in the Mustang Money Energized feature</t>
        </is>
      </c>
      <c r="L138" s="8" t="inlineStr">
        <is>
          <t>multiplies the winning combination the Coin substitutes in (win-based)</t>
        </is>
      </c>
      <c r="M138" s="7" t="inlineStr">
        <is>
          <t>high</t>
        </is>
      </c>
      <c r="N138" s="7" t="inlineStr">
        <is>
          <t>MustangMoneyEnergized_AGT_RevA.doc</t>
        </is>
      </c>
      <c r="O138" s="8" t="inlineStr">
        <is>
          <t>No scatter multiplier. Win-based Coin wild multipliers (x2/x5) in the feature.</t>
        </is>
      </c>
    </row>
    <row r="139">
      <c r="A139" s="7" t="inlineStr">
        <is>
          <t>Mustang Money Raging Rooster Reloaded</t>
        </is>
      </c>
      <c r="B139" s="7" t="inlineStr">
        <is>
          <t>no</t>
        </is>
      </c>
      <c r="C139" s="7" t="inlineStr"/>
      <c r="D139" s="7" t="inlineStr">
        <is>
          <t>none</t>
        </is>
      </c>
      <c r="E139" s="7" t="inlineStr"/>
      <c r="F139" s="8" t="inlineStr"/>
      <c r="G139" s="7" t="inlineStr">
        <is>
          <t>numLines=25</t>
        </is>
      </c>
      <c r="H139" s="7" t="inlineStr">
        <is>
          <t>No</t>
        </is>
      </c>
      <c r="I139" s="7" t="inlineStr">
        <is>
          <t>25</t>
        </is>
      </c>
      <c r="J139" s="8" t="inlineStr">
        <is>
          <t>'Mustang Money' is a scatter. 10 free games are triggered by any 3 or more scattered 'Mustang Money'.</t>
        </is>
      </c>
      <c r="K139" s="8" t="inlineStr">
        <is>
          <t>'Coin' substitute multipliers x1/x2 (reel 2) and x1/x5 (reel 4) in Free Games</t>
        </is>
      </c>
      <c r="L139" s="8" t="inlineStr">
        <is>
          <t>multiplies the prize for that winning combination (win-based)</t>
        </is>
      </c>
      <c r="M139" s="7" t="inlineStr">
        <is>
          <t>high</t>
        </is>
      </c>
      <c r="N139" s="7" t="inlineStr">
        <is>
          <t>Mustang Money RR AGT_RGS_Rev B.doc</t>
        </is>
      </c>
      <c r="O139" s="8" t="inlineStr">
        <is>
          <t>Mustang Money scatter pays via paytable (2/10/100) and triggers free games; no bet-multiplied displayed prize. Coin acts as a substitute win-multiplier in feature only.</t>
        </is>
      </c>
    </row>
    <row r="140">
      <c r="A140" s="7" t="inlineStr">
        <is>
          <t>Mustang Money Super</t>
        </is>
      </c>
      <c r="B140" s="7" t="inlineStr">
        <is>
          <t>no</t>
        </is>
      </c>
      <c r="C140" s="7" t="inlineStr"/>
      <c r="D140" s="7" t="inlineStr">
        <is>
          <t>none</t>
        </is>
      </c>
      <c r="E140" s="7" t="inlineStr"/>
      <c r="F140" s="8" t="inlineStr"/>
      <c r="G140" s="7" t="inlineStr">
        <is>
          <t>numLines=25/50/100</t>
        </is>
      </c>
      <c r="H140" s="7" t="inlineStr">
        <is>
          <t>No</t>
        </is>
      </c>
      <c r="I140" s="7" t="inlineStr">
        <is>
          <t>100</t>
        </is>
      </c>
      <c r="J140" s="8" t="inlineStr">
        <is>
          <t>'Mustang Money' is a scatter. During paid games, 3 or more 'Mustang Money' randomly triggers the FREE GAMES FEATURE or SUPER FREE GAMES FEATURE with 10 free games.</t>
        </is>
      </c>
      <c r="K140" s="8" t="inlineStr">
        <is>
          <t>'Coin' substitute multipliers x1/x2, x1/x3, x1/x5 in Free/Super Free Games</t>
        </is>
      </c>
      <c r="L140" s="8" t="inlineStr">
        <is>
          <t>multiplies the prize for that winning combination (win-based)</t>
        </is>
      </c>
      <c r="M140" s="7" t="inlineStr">
        <is>
          <t>high</t>
        </is>
      </c>
      <c r="N140" s="7" t="inlineStr">
        <is>
          <t>Mustang Money Super_RevA.doc</t>
        </is>
      </c>
      <c r="O140" s="8" t="inlineStr">
        <is>
          <t>Scatter pays via paytable and triggers free games; Coin is a substitute win-multiplier in feature only, no bet-multiplied displayed prize.</t>
        </is>
      </c>
    </row>
    <row r="141">
      <c r="A141" s="7" t="inlineStr">
        <is>
          <t>Mustang Money</t>
        </is>
      </c>
      <c r="B141" s="7" t="inlineStr">
        <is>
          <t>no</t>
        </is>
      </c>
      <c r="C141" s="7" t="inlineStr"/>
      <c r="D141" s="7" t="inlineStr">
        <is>
          <t>none</t>
        </is>
      </c>
      <c r="E141" s="7" t="inlineStr"/>
      <c r="F141" s="8" t="inlineStr"/>
      <c r="G141" s="7" t="inlineStr">
        <is>
          <t>numLines=1 to 100 (variable)</t>
        </is>
      </c>
      <c r="H141" s="7" t="inlineStr">
        <is>
          <t>No</t>
        </is>
      </c>
      <c r="I141" s="7" t="inlineStr">
        <is>
          <t>10</t>
        </is>
      </c>
      <c r="J141" s="8" t="inlineStr">
        <is>
          <t>'Mustang Money' is a scatter. 10 free games are triggered by any 3 or more scattered 'Mustang Money'.</t>
        </is>
      </c>
      <c r="K141" s="8" t="inlineStr">
        <is>
          <t>'Coin' substitute multipliers x1/x2 (reel 2), x1/x5 (reel 4) in Free Games</t>
        </is>
      </c>
      <c r="L141" s="8" t="inlineStr">
        <is>
          <t>multiplies the prize for that winning combination (win-based)</t>
        </is>
      </c>
      <c r="M141" s="7" t="inlineStr">
        <is>
          <t>high</t>
        </is>
      </c>
      <c r="N141" s="7" t="inlineStr">
        <is>
          <t>Mustang Money Game.doc</t>
        </is>
      </c>
      <c r="O141" s="8" t="inlineStr">
        <is>
          <t>Scatter pays via paytable and triggers free games; no bet-multiplied displayed prize. Coin is a substitute win-multiplier in feature only.</t>
        </is>
      </c>
    </row>
    <row r="142">
      <c r="A142" s="7" t="inlineStr">
        <is>
          <t>Mustang Spirit CashstackGold</t>
        </is>
      </c>
      <c r="B142" s="7" t="inlineStr">
        <is>
          <t>yes</t>
        </is>
      </c>
      <c r="C142" s="7" t="inlineStr">
        <is>
          <t>coin (and bonus)</t>
        </is>
      </c>
      <c r="D142" s="7" t="inlineStr">
        <is>
          <t>total_bet</t>
        </is>
      </c>
      <c r="E142" s="10" t="inlineStr">
        <is>
          <t>TotalBet</t>
        </is>
      </c>
      <c r="F142" s="8" t="inlineStr">
        <is>
          <t>x total bet</t>
        </is>
      </c>
      <c r="G142" s="7" t="inlineStr">
        <is>
          <t>numLines=50</t>
        </is>
      </c>
      <c r="H142" s="7" t="inlineStr">
        <is>
          <t>No</t>
        </is>
      </c>
      <c r="I142" s="7" t="inlineStr">
        <is>
          <t>50</t>
        </is>
      </c>
      <c r="J142" s="8" t="inlineStr">
        <is>
          <t>'coin' symbol always appears on screen with a random Prize of 1,2,3,5,8,10,20,25 or 50 multiplied by total bet as displayed during the paid games, 'Hold 'n' Stack Feature' and 'free games feature'.</t>
        </is>
      </c>
      <c r="K142" s="8" t="inlineStr">
        <is>
          <t>'wild herd' doubles a win in Free Games; stack prizes capped at xN of total bet</t>
        </is>
      </c>
      <c r="L142" s="8" t="inlineStr">
        <is>
          <t>wild herd doubles the line win (win-based); stack prizes x total bet</t>
        </is>
      </c>
      <c r="M142" s="7" t="inlineStr">
        <is>
          <t>high</t>
        </is>
      </c>
      <c r="N142" s="7" t="inlineStr">
        <is>
          <t>MustangSpiritCashstackGold_AGT_RGS_RevA.doc</t>
        </is>
      </c>
      <c r="O142" s="8" t="inlineStr">
        <is>
          <t>'bonus' also shows a random prize multiplied by total bet. Stack prizes in Hold'n'Stack are multiples of total bet.</t>
        </is>
      </c>
    </row>
    <row r="143">
      <c r="A143" s="7" t="inlineStr">
        <is>
          <t>Mustang Spirit</t>
        </is>
      </c>
      <c r="B143" s="7" t="inlineStr">
        <is>
          <t>yes</t>
        </is>
      </c>
      <c r="C143" s="7" t="inlineStr">
        <is>
          <t>Coin</t>
        </is>
      </c>
      <c r="D143" s="7" t="inlineStr">
        <is>
          <t>total_bet</t>
        </is>
      </c>
      <c r="E143" s="10" t="inlineStr">
        <is>
          <t>TotalBet</t>
        </is>
      </c>
      <c r="F143" s="8" t="inlineStr">
        <is>
          <t>x total bet / total credits bet</t>
        </is>
      </c>
      <c r="G143" s="7" t="inlineStr">
        <is>
          <t>numLines=50/100</t>
        </is>
      </c>
      <c r="H143" s="7" t="inlineStr">
        <is>
          <t>No</t>
        </is>
      </c>
      <c r="I143" s="7" t="inlineStr">
        <is>
          <t>100</t>
        </is>
      </c>
      <c r="J143" s="8" t="inlineStr">
        <is>
          <t>Coin symbol always appears on screen with a random Coin Bonus of 1,2,3,4,5,8,10,20,25 or 50 multiplied by total bet as displayed during the paid games and Hold'n Stack Feature only.</t>
        </is>
      </c>
      <c r="K143" s="8" t="inlineStr">
        <is>
          <t>Cash Stacks Bonus prize (3..200) multiplied by total credits bet, or Grand/Major/Minor/Mini</t>
        </is>
      </c>
      <c r="L143" s="8" t="inlineStr">
        <is>
          <t>Cash Stacks Bonus x total credits bet</t>
        </is>
      </c>
      <c r="M143" s="7" t="inlineStr">
        <is>
          <t>high</t>
        </is>
      </c>
      <c r="N143" s="7" t="inlineStr">
        <is>
          <t>MustangSpirit_AGT_RGS_RevA.doc</t>
        </is>
      </c>
      <c r="O143" s="8" t="inlineStr">
        <is>
          <t>Coin bonus stated as 'multiplied by total bet' (rules) and 'multiplied by total credits bet' (feature) - both total-bet based.</t>
        </is>
      </c>
    </row>
    <row r="144">
      <c r="A144" s="7" t="inlineStr">
        <is>
          <t>MustangMoney RingsOfFortune</t>
        </is>
      </c>
      <c r="B144" s="7" t="inlineStr">
        <is>
          <t>yes</t>
        </is>
      </c>
      <c r="C144" s="7" t="inlineStr">
        <is>
          <t>Gold Coin / Orange Coin</t>
        </is>
      </c>
      <c r="D144" s="7" t="inlineStr">
        <is>
          <t>static_multiplier</t>
        </is>
      </c>
      <c r="E144" s="11" t="inlineStr">
        <is>
          <t>LineBetFromStaticMultiplier</t>
        </is>
      </c>
      <c r="F144" s="8" t="inlineStr">
        <is>
          <t>numLines=50, static=75 -&gt; prize x 50 times bet per line (= total_bet*50/75)</t>
        </is>
      </c>
      <c r="G144" s="7" t="inlineStr">
        <is>
          <t>numLines=50, static=75 (Total Bet=75)</t>
        </is>
      </c>
      <c r="H144" s="7" t="inlineStr">
        <is>
          <t>No</t>
        </is>
      </c>
      <c r="I144" s="7" t="inlineStr">
        <is>
          <t>50</t>
        </is>
      </c>
      <c r="J144" s="8" t="inlineStr">
        <is>
          <t>All available bet options are multiplied by static multiplier '75'. Coin symbols always appear on screen with a random Prize of 1, 2, 3, 5, 8, 12, 15, 20 or 25 multiplied by 50 times of the bet per line value, OR MAXI or MINI, as displayed.</t>
        </is>
      </c>
      <c r="K144" s="8" t="inlineStr">
        <is>
          <t>FrameX2/FrameX3/FrameX5 in Rings of Fortune Hold'nSpin</t>
        </is>
      </c>
      <c r="L144" s="8" t="inlineStr">
        <is>
          <t>multiplies the displayed coin prize by 2/3/5 (prize-based)</t>
        </is>
      </c>
      <c r="M144" s="7" t="inlineStr">
        <is>
          <t>high</t>
        </is>
      </c>
      <c r="N144" s="7" t="inlineStr">
        <is>
          <t>MustangMoneyRingsOfFortune_RevA.doc</t>
        </is>
      </c>
      <c r="O144" s="8" t="inlineStr">
        <is>
          <t>Prize base is 50 x bet-per-line; with static multiplier 75 and 50 lines this equals total_bet*50/75. Clone of GoldenPhoenix ROF.</t>
        </is>
      </c>
    </row>
    <row r="145">
      <c r="A145" s="7" t="inlineStr">
        <is>
          <t>MustangMoney2Energized</t>
        </is>
      </c>
      <c r="B145" s="7" t="inlineStr">
        <is>
          <t>no</t>
        </is>
      </c>
      <c r="C145" s="7" t="inlineStr"/>
      <c r="D145" s="7" t="inlineStr">
        <is>
          <t>none</t>
        </is>
      </c>
      <c r="E145" s="7" t="inlineStr"/>
      <c r="F145" s="8" t="inlineStr"/>
      <c r="G145" s="7" t="inlineStr">
        <is>
          <t>numLines=1 to 100 (variable, standard 20)</t>
        </is>
      </c>
      <c r="H145" s="7" t="inlineStr">
        <is>
          <t>No</t>
        </is>
      </c>
      <c r="I145" s="7" t="inlineStr">
        <is>
          <t>20</t>
        </is>
      </c>
      <c r="J145" s="8" t="inlineStr">
        <is>
          <t>'Horse' is a scatter. 10 free games are triggered by 3 scattered 'Horse'. During the Free Games Feature, 2 of a kind scattered 'Mustang Money' pays 1 multiplied by the total credits bet.</t>
        </is>
      </c>
      <c r="K145" s="8" t="inlineStr">
        <is>
          <t>none</t>
        </is>
      </c>
      <c r="L145" s="8" t="inlineStr"/>
      <c r="M145" s="7" t="inlineStr">
        <is>
          <t>medium</t>
        </is>
      </c>
      <c r="N145" s="7" t="inlineStr">
        <is>
          <t>MustangMoney2Energized.doc</t>
        </is>
      </c>
      <c r="O145" s="8" t="inlineStr">
        <is>
          <t>Horse scatter triggers free games. 'Mustang Money' scatter pays a fixed paytable value (1) expressed x total credits bet - a standard scatter pay, not a displayed random bet-multiplied prize, so treated as no scatter multiplier.</t>
        </is>
      </c>
    </row>
    <row r="146">
      <c r="A146" s="7" t="inlineStr">
        <is>
          <t>MustangMoneyTripleShot</t>
        </is>
      </c>
      <c r="B146" s="7" t="inlineStr">
        <is>
          <t>no</t>
        </is>
      </c>
      <c r="C146" s="7" t="inlineStr"/>
      <c r="D146" s="7" t="inlineStr">
        <is>
          <t>none</t>
        </is>
      </c>
      <c r="E146" s="7" t="inlineStr"/>
      <c r="F146" s="8" t="inlineStr"/>
      <c r="G146" s="7" t="inlineStr">
        <is>
          <t>numLines=50, AnteBet static=75</t>
        </is>
      </c>
      <c r="H146" s="7" t="inlineStr">
        <is>
          <t>No</t>
        </is>
      </c>
      <c r="I146" s="7" t="inlineStr">
        <is>
          <t>50</t>
        </is>
      </c>
      <c r="J146" s="8" t="inlineStr">
        <is>
          <t>Coins are scatters. Any combination of 1 or more [Sticky Free Games Coin][Bonus Free Games Coin][Extra Free Games Coin] may randomly trigger 8 Free Games. All wins shown at current selected bet.</t>
        </is>
      </c>
      <c r="K146" s="8" t="inlineStr">
        <is>
          <t>none (mini/minor/maxi/major/grand collect-to-win bonus prizes)</t>
        </is>
      </c>
      <c r="L146" s="8" t="inlineStr"/>
      <c r="M146" s="7" t="inlineStr">
        <is>
          <t>high</t>
        </is>
      </c>
      <c r="N146" s="7" t="inlineStr">
        <is>
          <t>MustangMoneyTripleShot.docx</t>
        </is>
      </c>
      <c r="O146" s="8" t="inlineStr">
        <is>
          <t>Coin scatters trigger feature free games; no coin/credit prize multiplied by bet is stated. Bonus tiers are collect-to-win, no displayed bet-multiplied prize. Clone of San Fa Dragons.</t>
        </is>
      </c>
    </row>
    <row r="147">
      <c r="A147" s="7" t="inlineStr">
        <is>
          <t>MustangMuchDinero</t>
        </is>
      </c>
      <c r="B147" s="7" t="inlineStr">
        <is>
          <t>no</t>
        </is>
      </c>
      <c r="C147" s="7" t="inlineStr"/>
      <c r="D147" s="7" t="inlineStr">
        <is>
          <t>none</t>
        </is>
      </c>
      <c r="E147" s="7" t="inlineStr"/>
      <c r="F147" s="8" t="inlineStr"/>
      <c r="G147" s="7" t="inlineStr">
        <is>
          <t>1024 ways; bet multiplier X1..X4</t>
        </is>
      </c>
      <c r="H147" s="7" t="inlineStr">
        <is>
          <t>Unknown</t>
        </is>
      </c>
      <c r="I147" s="7" t="inlineStr"/>
      <c r="J147" s="8" t="inlineStr">
        <is>
          <t>'Gold Coin' is a scatter. Scatter wins are multiplied by the total credits bet. Possible 'Red Gem' Prizes appearing are 25, 50, ... or 5000 multiplied by bet multiplier, as displayed.</t>
        </is>
      </c>
      <c r="K147" s="8" t="inlineStr">
        <is>
          <t>2X Wild and 3X Wild multiply all way wins x2/x3; Red Gem credit prizes x bet multiplier</t>
        </is>
      </c>
      <c r="L147" s="8" t="inlineStr">
        <is>
          <t>2X/3X wild multiply the way wins (win-based); Red Gem prizes pre-multiplied by the bet multiplier</t>
        </is>
      </c>
      <c r="M147" s="7" t="inlineStr">
        <is>
          <t>medium</t>
        </is>
      </c>
      <c r="N147" s="7" t="inlineStr">
        <is>
          <t>MustangMuchoDinero_INT_TechSpec_Cpf1.doc</t>
        </is>
      </c>
      <c r="O147" s="8" t="inlineStr">
        <is>
          <t>INT land-based TechSpec (ways game, bet-multiplier concept). Gold Coin scatter pays paytable x total credits bet (standard). Red Gem is a paytable/credit-prize symbol (pays left-to-right, not scatter) with prizes x bet multiplier - not a scatter multiplier.</t>
        </is>
      </c>
    </row>
    <row r="148">
      <c r="A148" s="7" t="inlineStr">
        <is>
          <t>Mystic Moon</t>
        </is>
      </c>
      <c r="B148" s="7" t="inlineStr">
        <is>
          <t>yes</t>
        </is>
      </c>
      <c r="C148" s="7" t="inlineStr">
        <is>
          <t>Moon</t>
        </is>
      </c>
      <c r="D148" s="7" t="inlineStr">
        <is>
          <t>total_bet</t>
        </is>
      </c>
      <c r="E148" s="10" t="inlineStr">
        <is>
          <t>TotalBet</t>
        </is>
      </c>
      <c r="F148" s="8" t="inlineStr">
        <is>
          <t>x total bet</t>
        </is>
      </c>
      <c r="G148" s="7" t="inlineStr">
        <is>
          <t>numLines=25</t>
        </is>
      </c>
      <c r="H148" s="7" t="inlineStr">
        <is>
          <t>No</t>
        </is>
      </c>
      <c r="I148" s="7" t="inlineStr">
        <is>
          <t>25</t>
        </is>
      </c>
      <c r="J148" s="8" t="inlineStr">
        <is>
          <t>6 or more scatter award a prize multiplied by 2 times the total bet. Each 'Moon' appearing awards a random Prize of 1, 2, 3, 5, 10, 25 or 50 multiplied by total bet as displayed.</t>
        </is>
      </c>
      <c r="K148" s="8" t="inlineStr">
        <is>
          <t>none</t>
        </is>
      </c>
      <c r="L148" s="8" t="inlineStr"/>
      <c r="M148" s="7" t="inlineStr">
        <is>
          <t>high</t>
        </is>
      </c>
      <c r="N148" s="7" t="inlineStr">
        <is>
          <t>MysticMoon_AGT_RGS_RevG.doc</t>
        </is>
      </c>
      <c r="O148" s="8" t="inlineStr">
        <is>
          <t>Moon scatter both pays 6+ as 2x total bet and, in Big Hit / Extra Bonus features, shows random prizes multiplied by total bet.</t>
        </is>
      </c>
    </row>
    <row r="149">
      <c r="A149" s="7" t="inlineStr">
        <is>
          <t>Niulang and Zhinu QS</t>
        </is>
      </c>
      <c r="B149" s="7" t="inlineStr">
        <is>
          <t>no</t>
        </is>
      </c>
      <c r="C149" s="7" t="inlineStr"/>
      <c r="D149" s="7" t="inlineStr">
        <is>
          <t>none</t>
        </is>
      </c>
      <c r="E149" s="7" t="inlineStr"/>
      <c r="F149" s="8" t="inlineStr"/>
      <c r="G149" s="7" t="inlineStr">
        <is>
          <t>numLines=25</t>
        </is>
      </c>
      <c r="H149" s="7" t="inlineStr">
        <is>
          <t>No</t>
        </is>
      </c>
      <c r="I149" s="7" t="inlineStr">
        <is>
          <t>25</t>
        </is>
      </c>
      <c r="J149" s="8" t="inlineStr">
        <is>
          <t>'Moon' is a scatter. 10, 15 or 25 free games are triggered by any 3, 4 or 5 scattered 'Moon' respectively.</t>
        </is>
      </c>
      <c r="K149" s="8" t="inlineStr">
        <is>
          <t>none (QUAD Shot Bonus awards Major/Maxi/Minor/Mini)</t>
        </is>
      </c>
      <c r="L149" s="8" t="inlineStr"/>
      <c r="M149" s="7" t="inlineStr">
        <is>
          <t>high</t>
        </is>
      </c>
      <c r="N149" s="7" t="inlineStr">
        <is>
          <t>Niulang and Zhinu_AGT_RGS_RevA.docx</t>
        </is>
      </c>
      <c r="O149" s="8" t="inlineStr">
        <is>
          <t>Moon scatter pays via paytable and triggers free games; no displayed bet-multiplied prize. Quad Shot bonuses are fixed tiers.</t>
        </is>
      </c>
    </row>
    <row r="150">
      <c r="A150" s="7" t="inlineStr">
        <is>
          <t>Nottinghams Treasure_ULE</t>
        </is>
      </c>
      <c r="B150" s="7" t="inlineStr">
        <is>
          <t>yes</t>
        </is>
      </c>
      <c r="C150" s="7" t="inlineStr">
        <is>
          <t>COINS (Cash Payload)</t>
        </is>
      </c>
      <c r="D150" s="7" t="inlineStr">
        <is>
          <t>static_multiplier</t>
        </is>
      </c>
      <c r="E150" s="11" t="inlineStr">
        <is>
          <t>LineBetFromStaticMultiplier</t>
        </is>
      </c>
      <c r="F150" s="8" t="inlineStr">
        <is>
          <t>numLines=20, static=30 -&gt; prize x 20 times bet per line (= total_bet*20/30)</t>
        </is>
      </c>
      <c r="G150" s="7" t="inlineStr">
        <is>
          <t>numLines=20, static=30 (Total Bet=30)</t>
        </is>
      </c>
      <c r="H150" s="7" t="inlineStr">
        <is>
          <t>No</t>
        </is>
      </c>
      <c r="I150" s="7" t="inlineStr">
        <is>
          <t>20</t>
        </is>
      </c>
      <c r="J150" s="8" t="inlineStr">
        <is>
          <t>All available bet options are multiplied by static multiplier '30'. COINS are scatters and CASH PAYLOAD symbols, which award random prizes of 1, 2, 3, 5, 8, 10, 25, 50 or 75 multiplied by 20 times of the bet per line value and only be available for those feature games which are associated with CASH PAYLOAD feature.</t>
        </is>
      </c>
      <c r="K150" s="8" t="inlineStr">
        <is>
          <t>Robin Hood WILD x2/x3/x5 (additive multipliers) in WILD PAYLOAD feature</t>
        </is>
      </c>
      <c r="L150" s="8" t="inlineStr">
        <is>
          <t>act as additive multiplier on the win line (win-based)</t>
        </is>
      </c>
      <c r="M150" s="7" t="inlineStr">
        <is>
          <t>high</t>
        </is>
      </c>
      <c r="N150" s="7" t="inlineStr">
        <is>
          <t>NottinghamsTreasure_RevA.doc</t>
        </is>
      </c>
      <c r="O150" s="8" t="inlineStr">
        <is>
          <t>Coin prize base is 20 x bet-per-line; with static multiplier 30 and 20 lines equals total_bet*20/30. Clone of SmileyPigs SplashinWealth.</t>
        </is>
      </c>
    </row>
    <row r="151">
      <c r="A151" s="7" t="inlineStr">
        <is>
          <t>Only The Brave</t>
        </is>
      </c>
      <c r="B151" s="7" t="inlineStr">
        <is>
          <t>no</t>
        </is>
      </c>
      <c r="C151" s="7" t="inlineStr"/>
      <c r="D151" s="7" t="inlineStr">
        <is>
          <t>none</t>
        </is>
      </c>
      <c r="E151" s="7" t="inlineStr"/>
      <c r="F151" s="8" t="inlineStr"/>
      <c r="G151" s="7" t="inlineStr">
        <is>
          <t>numLines=30/40/50</t>
        </is>
      </c>
      <c r="H151" s="7" t="inlineStr">
        <is>
          <t>No</t>
        </is>
      </c>
      <c r="I151" s="7" t="inlineStr">
        <is>
          <t>30</t>
        </is>
      </c>
      <c r="J151" s="8" t="inlineStr">
        <is>
          <t>'Dragon' is a scatter. The Dragon Feature is triggered by any 3 or more scattered 'Dragon'. Scatter wins are multiplied by the total credits bet.</t>
        </is>
      </c>
      <c r="K151" s="8" t="inlineStr">
        <is>
          <t>none numeric (Quad Shot progressive/bonus tiers Grand/Major/Minor/Mini)</t>
        </is>
      </c>
      <c r="L151" s="8" t="inlineStr"/>
      <c r="M151" s="7" t="inlineStr">
        <is>
          <t>high</t>
        </is>
      </c>
      <c r="N151" s="7" t="inlineStr">
        <is>
          <t>Only The Brave INT A600 Apf5.doc</t>
        </is>
      </c>
      <c r="O151" s="8" t="inlineStr">
        <is>
          <t>INT land-based TechSpec. Dragon scatter pays paytable x total credits bet (standard) and triggers Dragon Feature; no displayed random bet-multiplied prize. Quad Shot awards progressives/bonuses.</t>
        </is>
      </c>
    </row>
    <row r="152">
      <c r="A152" s="7" t="inlineStr">
        <is>
          <t>Orca Magic</t>
        </is>
      </c>
      <c r="B152" s="7" t="inlineStr">
        <is>
          <t>no</t>
        </is>
      </c>
      <c r="C152" s="7" t="inlineStr"/>
      <c r="D152" s="7" t="inlineStr">
        <is>
          <t>none</t>
        </is>
      </c>
      <c r="E152" s="7" t="inlineStr"/>
      <c r="F152" s="8" t="inlineStr"/>
      <c r="G152" s="7" t="inlineStr">
        <is>
          <t>numLines=50/100</t>
        </is>
      </c>
      <c r="H152" s="7" t="inlineStr">
        <is>
          <t>No</t>
        </is>
      </c>
      <c r="I152" s="7" t="inlineStr">
        <is>
          <t>100</t>
        </is>
      </c>
      <c r="J152" s="8" t="inlineStr">
        <is>
          <t>During paid games, 3 or more Orca triggers the FREE GAMES FEATURE with 8 free games.</t>
        </is>
      </c>
      <c r="K152" s="8" t="inlineStr">
        <is>
          <t>none</t>
        </is>
      </c>
      <c r="L152" s="8" t="inlineStr"/>
      <c r="M152" s="7" t="inlineStr">
        <is>
          <t>high</t>
        </is>
      </c>
      <c r="N152" s="7" t="inlineStr">
        <is>
          <t>Orca Magic_AGT_RGS_RevA.doc</t>
        </is>
      </c>
      <c r="O152" s="8" t="inlineStr">
        <is>
          <t>Orca is a scatter that pays via paytable and triggers free games; no multiplier. Clone of Mustang Money.</t>
        </is>
      </c>
    </row>
    <row r="153">
      <c r="A153" s="7" t="inlineStr">
        <is>
          <t>PACMAN</t>
        </is>
      </c>
      <c r="B153" s="7" t="inlineStr">
        <is>
          <t>no</t>
        </is>
      </c>
      <c r="C153" s="7" t="inlineStr"/>
      <c r="D153" s="7" t="inlineStr">
        <is>
          <t>none</t>
        </is>
      </c>
      <c r="E153" s="7" t="inlineStr"/>
      <c r="F153" s="8" t="inlineStr"/>
      <c r="G153" s="7" t="inlineStr"/>
      <c r="H153" s="7" t="inlineStr">
        <is>
          <t>No</t>
        </is>
      </c>
      <c r="I153" s="7" t="inlineStr">
        <is>
          <t>25</t>
        </is>
      </c>
      <c r="J153" s="8" t="inlineStr">
        <is>
          <t>'Power Pellet' pays any. 8 free games are triggered by any 3 or more scatters.</t>
        </is>
      </c>
      <c r="K153" s="8" t="inlineStr">
        <is>
          <t>Bonus Feature reel multipliers x2/x3/x5/x10/x15; Extra Chance reel x10/x20/x30/x50</t>
        </is>
      </c>
      <c r="L153" s="8" t="inlineStr">
        <is>
          <t>prize = multiplier times the total bet (bonus feature reel)</t>
        </is>
      </c>
      <c r="M153" s="7" t="inlineStr">
        <is>
          <t>high</t>
        </is>
      </c>
      <c r="N153" s="7" t="inlineStr">
        <is>
          <t>Pacman_Online_Epf1_D.DOC</t>
        </is>
      </c>
      <c r="O153" s="8" t="inlineStr">
        <is>
          <t>Power Pellet scatter triggers free games only. Bet-multiplied prizes come from the Bonus/Extra Chance feature reels (multiplier x total bet), not from a scatter symbol.</t>
        </is>
      </c>
    </row>
    <row r="154">
      <c r="A154" s="7" t="inlineStr">
        <is>
          <t>Panda King</t>
        </is>
      </c>
      <c r="B154" s="7" t="inlineStr">
        <is>
          <t>no</t>
        </is>
      </c>
      <c r="C154" s="7" t="inlineStr"/>
      <c r="D154" s="7" t="inlineStr">
        <is>
          <t>none</t>
        </is>
      </c>
      <c r="E154" s="7" t="inlineStr"/>
      <c r="F154" s="8" t="inlineStr"/>
      <c r="G154" s="7" t="inlineStr"/>
      <c r="H154" s="7" t="inlineStr">
        <is>
          <t>No</t>
        </is>
      </c>
      <c r="I154" s="7" t="inlineStr">
        <is>
          <t>20</t>
        </is>
      </c>
      <c r="J154" s="8" t="inlineStr">
        <is>
          <t>'Yin Yang' is a scatter. Free Games Feature is triggered by any 3 or more scattered 'Yin Yang'.</t>
        </is>
      </c>
      <c r="K154" s="8" t="inlineStr">
        <is>
          <t>5-of-a-kind 'Fortune' win with 2 or 3 'Panda' substituting multiplied by x2/x3</t>
        </is>
      </c>
      <c r="L154" s="8" t="inlineStr">
        <is>
          <t>'Panda' substitute multiplies the line win (win-based)</t>
        </is>
      </c>
      <c r="M154" s="7" t="inlineStr">
        <is>
          <t>high</t>
        </is>
      </c>
      <c r="N154" s="7" t="inlineStr">
        <is>
          <t>Panda King_Tech Spec_INT NO SAP A560 Rev C.doc</t>
        </is>
      </c>
      <c r="O154" s="8" t="inlineStr">
        <is>
          <t>Yin Yang scatter triggers free games; no bet-multiplied displayed prize. Panda substitute is a win-multiplier on Fortune wins.</t>
        </is>
      </c>
    </row>
    <row r="155">
      <c r="A155" s="7" t="inlineStr">
        <is>
          <t>Pearl River QS</t>
        </is>
      </c>
      <c r="B155" s="7" t="inlineStr">
        <is>
          <t>no</t>
        </is>
      </c>
      <c r="C155" s="7" t="inlineStr"/>
      <c r="D155" s="7" t="inlineStr">
        <is>
          <t>none</t>
        </is>
      </c>
      <c r="E155" s="7" t="inlineStr"/>
      <c r="F155" s="8" t="inlineStr"/>
      <c r="G155" s="7" t="inlineStr"/>
      <c r="H155" s="7" t="inlineStr">
        <is>
          <t>No</t>
        </is>
      </c>
      <c r="I155" s="7" t="inlineStr">
        <is>
          <t>30</t>
        </is>
      </c>
      <c r="J155" s="8" t="inlineStr">
        <is>
          <t>'Pearl' is a scatter. 10 free games are triggered by any 3 or more scattered 'Pearl'.</t>
        </is>
      </c>
      <c r="K155" s="8" t="inlineStr">
        <is>
          <t>Goddess x2/x3/x5 in Lucky Multiplier Bonus Spin</t>
        </is>
      </c>
      <c r="L155" s="8" t="inlineStr">
        <is>
          <t>substitutes in a win and multiplies the prize for that win by x2/x3/x5 (win-based)</t>
        </is>
      </c>
      <c r="M155" s="7" t="inlineStr">
        <is>
          <t>high</t>
        </is>
      </c>
      <c r="N155" s="7" t="inlineStr">
        <is>
          <t>Pearl River Online Cpf1.doc</t>
        </is>
      </c>
      <c r="O155" s="8" t="inlineStr">
        <is>
          <t>Pearl scatter triggers free games; no bet-multiplied displayed prize. Goddess xN are wild win-multipliers; Quad Shot bonus present.</t>
        </is>
      </c>
    </row>
    <row r="156">
      <c r="A156" s="7" t="inlineStr">
        <is>
          <t>Prosperity Dragon</t>
        </is>
      </c>
      <c r="B156" s="7" t="inlineStr">
        <is>
          <t>no</t>
        </is>
      </c>
      <c r="C156" s="7" t="inlineStr"/>
      <c r="D156" s="7" t="inlineStr">
        <is>
          <t>none</t>
        </is>
      </c>
      <c r="E156" s="7" t="inlineStr"/>
      <c r="F156" s="8" t="inlineStr"/>
      <c r="G156" s="7" t="inlineStr"/>
      <c r="H156" s="7" t="inlineStr">
        <is>
          <t>No</t>
        </is>
      </c>
      <c r="I156" s="7" t="inlineStr">
        <is>
          <t>100</t>
        </is>
      </c>
      <c r="J156" s="8" t="inlineStr">
        <is>
          <t>'Pattern' is a scatter. 10 free games are triggered by any 3 or more scattered 'Pattern'.</t>
        </is>
      </c>
      <c r="K156" s="8" t="inlineStr">
        <is>
          <t>'Coins' wins with 'Gold Star' substituting multiplied by 2/3/4/5 in Super/Ultimate Choice features</t>
        </is>
      </c>
      <c r="L156" s="8" t="inlineStr">
        <is>
          <t>'Gold Star' substitute multiplies the Coins line win (win-based)</t>
        </is>
      </c>
      <c r="M156" s="7" t="inlineStr">
        <is>
          <t>high</t>
        </is>
      </c>
      <c r="N156" s="7" t="inlineStr">
        <is>
          <t>Prosperity Dragon AGT_RGS_Rev C.doc</t>
        </is>
      </c>
      <c r="O156" s="8" t="inlineStr">
        <is>
          <t>Pattern scatter triggers free games. Coins is a paytable symbol; Gold Star substitute is a win-multiplier, no bet-multiplied displayed prize.</t>
        </is>
      </c>
    </row>
    <row r="157">
      <c r="A157" s="7" t="inlineStr">
        <is>
          <t>Pure Platinum</t>
        </is>
      </c>
      <c r="B157" s="7" t="inlineStr">
        <is>
          <t>no</t>
        </is>
      </c>
      <c r="C157" s="7" t="inlineStr"/>
      <c r="D157" s="7" t="inlineStr">
        <is>
          <t>none</t>
        </is>
      </c>
      <c r="E157" s="7" t="inlineStr"/>
      <c r="F157" s="8" t="inlineStr"/>
      <c r="G157" s="7" t="inlineStr"/>
      <c r="H157" s="7" t="inlineStr">
        <is>
          <t>No</t>
        </is>
      </c>
      <c r="I157" s="7" t="inlineStr">
        <is>
          <t>100</t>
        </is>
      </c>
      <c r="J157" s="8" t="inlineStr">
        <is>
          <t>'Dollar' is a scatter. 8 free games are triggered by any 3 or more scatters.</t>
        </is>
      </c>
      <c r="K157" s="8" t="inlineStr">
        <is>
          <t>none numeric (Whopper/Yellow/Blue/Dollar Wild transformations)</t>
        </is>
      </c>
      <c r="L157" s="8" t="inlineStr"/>
      <c r="M157" s="7" t="inlineStr">
        <is>
          <t>high</t>
        </is>
      </c>
      <c r="N157" s="7" t="inlineStr">
        <is>
          <t>Pure_Platinum_AGT_RGS_Rev A pf1.doc</t>
        </is>
      </c>
      <c r="O157" s="8" t="inlineStr">
        <is>
          <t>Dollar scatter triggers free games; wild-transformation mechanics only, no numeric multiplier and no bet-multiplied displayed prize.</t>
        </is>
      </c>
    </row>
    <row r="158">
      <c r="A158" s="7" t="inlineStr">
        <is>
          <t>Pussy Cat</t>
        </is>
      </c>
      <c r="B158" s="7" t="inlineStr">
        <is>
          <t>no</t>
        </is>
      </c>
      <c r="C158" s="7" t="inlineStr"/>
      <c r="D158" s="7" t="inlineStr">
        <is>
          <t>none</t>
        </is>
      </c>
      <c r="E158" s="7" t="inlineStr"/>
      <c r="F158" s="8" t="inlineStr"/>
      <c r="G158" s="7" t="inlineStr"/>
      <c r="H158" s="7" t="inlineStr">
        <is>
          <t>No</t>
        </is>
      </c>
      <c r="I158" s="7" t="inlineStr">
        <is>
          <t>25</t>
        </is>
      </c>
      <c r="J158" s="8" t="inlineStr">
        <is>
          <t>'Paw' is a scatter. 8 free games are triggered by any 3 or more scatters.</t>
        </is>
      </c>
      <c r="K158" s="8" t="inlineStr">
        <is>
          <t>'Gold Fish'/'Silver Fish' display multiplier of 1-6 in Free Games</t>
        </is>
      </c>
      <c r="L158" s="8" t="inlineStr">
        <is>
          <t>pay for the win multiplied by the sum of all multipliers displayed on the Fish in that win (win-based)</t>
        </is>
      </c>
      <c r="M158" s="7" t="inlineStr">
        <is>
          <t>high</t>
        </is>
      </c>
      <c r="N158" s="7" t="inlineStr">
        <is>
          <t>PussyCat_AGT_RGS_RevB.doc</t>
        </is>
      </c>
      <c r="O158" s="8" t="inlineStr">
        <is>
          <t>Paw scatter triggers free games; no bet-multiplied displayed prize. Fish are wild win-multipliers; bonus prizes proportional to total bet but not multiplied by Fish multiplier.</t>
        </is>
      </c>
    </row>
    <row r="159">
      <c r="A159" s="7" t="inlineStr">
        <is>
          <t>RapidFeature DragonMoney</t>
        </is>
      </c>
      <c r="B159" s="7" t="inlineStr">
        <is>
          <t>no</t>
        </is>
      </c>
      <c r="C159" s="7" t="inlineStr"/>
      <c r="D159" s="7" t="inlineStr">
        <is>
          <t>none</t>
        </is>
      </c>
      <c r="E159" s="7" t="inlineStr"/>
      <c r="F159" s="8" t="inlineStr"/>
      <c r="G159" s="7" t="inlineStr">
        <is>
          <t>numLines=50</t>
        </is>
      </c>
      <c r="H159" s="7" t="inlineStr">
        <is>
          <t>No</t>
        </is>
      </c>
      <c r="I159" s="7" t="inlineStr">
        <is>
          <t>100</t>
        </is>
      </c>
      <c r="J159" s="8" t="inlineStr">
        <is>
          <t>'Rapid Feature' is a scatter. 10 free games are triggered by any 3 or more scattered 'Rapid Feature'.</t>
        </is>
      </c>
      <c r="K159" s="8" t="inlineStr">
        <is>
          <t>'DRAGONx2' (reel 2) and 'DRAGONx5' (reel 4) substitute multipliers in Rapid Feature</t>
        </is>
      </c>
      <c r="L159" s="8" t="inlineStr">
        <is>
          <t>when it substitutes in a winning combination the prize is multiplied by 2/5 (win-based)</t>
        </is>
      </c>
      <c r="M159" s="7" t="inlineStr">
        <is>
          <t>high</t>
        </is>
      </c>
      <c r="N159" s="7" t="inlineStr">
        <is>
          <t>RapidFeatureDragonMoney_AGT_RevB.doc</t>
        </is>
      </c>
      <c r="O159" s="8" t="inlineStr">
        <is>
          <t>Rapid Feature scatter triggers free games. Coins is a paytable symbol; DRAGONx2/x5 are substitute win-multipliers, no bet-multiplied displayed prize.</t>
        </is>
      </c>
    </row>
    <row r="160">
      <c r="A160" s="7" t="inlineStr">
        <is>
          <t>Red Dream</t>
        </is>
      </c>
      <c r="B160" s="7" t="inlineStr">
        <is>
          <t>yes</t>
        </is>
      </c>
      <c r="C160" s="7" t="inlineStr">
        <is>
          <t>Golden Orb, Grand Orb, Major Orb, Minor Orb, Mini Orb (Ball symbols)</t>
        </is>
      </c>
      <c r="D160" s="7" t="inlineStr">
        <is>
          <t>total_bet</t>
        </is>
      </c>
      <c r="E160" s="10" t="inlineStr">
        <is>
          <t>TotalBet</t>
        </is>
      </c>
      <c r="F160" s="8" t="inlineStr">
        <is>
          <t>x total bet</t>
        </is>
      </c>
      <c r="G160" s="7" t="inlineStr">
        <is>
          <t>Total Bet based (243 ways)</t>
        </is>
      </c>
      <c r="H160" s="7" t="inlineStr">
        <is>
          <t>No</t>
        </is>
      </c>
      <c r="I160" s="7" t="inlineStr"/>
      <c r="J160" s="8" t="inlineStr">
        <is>
          <t>[Golden Orb], [Grand Orb], [Major Orb], [Minor Orb] and [Mini Orb] symbols always appear on screen with a random Prize of 1,2,3,4,5,10,15,20,50 and 100 multiplied by total bet as displayed.</t>
        </is>
      </c>
      <c r="K160" s="8" t="inlineStr">
        <is>
          <t>Golden Spins feature Upgrade upgrades prize levels</t>
        </is>
      </c>
      <c r="L160" s="8" t="inlineStr"/>
      <c r="M160" s="7" t="inlineStr">
        <is>
          <t>high</t>
        </is>
      </c>
      <c r="N160" s="7" t="inlineStr">
        <is>
          <t>RedDream.doc</t>
        </is>
      </c>
      <c r="O160" s="8" t="inlineStr">
        <is>
          <t>Orb scatters carry displayed random prizes x total bet. The base [Scatter] symbol pays via paytable and triggers free games.</t>
        </is>
      </c>
    </row>
    <row r="161">
      <c r="A161" s="7" t="inlineStr">
        <is>
          <t>Red Heiress</t>
        </is>
      </c>
      <c r="B161" s="7" t="inlineStr">
        <is>
          <t>no</t>
        </is>
      </c>
      <c r="C161" s="7" t="inlineStr"/>
      <c r="D161" s="7" t="inlineStr">
        <is>
          <t>none</t>
        </is>
      </c>
      <c r="E161" s="7" t="inlineStr"/>
      <c r="F161" s="8" t="inlineStr"/>
      <c r="G161" s="7" t="inlineStr"/>
      <c r="H161" s="7" t="inlineStr">
        <is>
          <t>No</t>
        </is>
      </c>
      <c r="I161" s="7" t="inlineStr">
        <is>
          <t>100</t>
        </is>
      </c>
      <c r="J161" s="8" t="inlineStr">
        <is>
          <t>'Red Diamond' is a scatter. 10 free games are triggered by any 3 or more scattered 'Red Diamond'.</t>
        </is>
      </c>
      <c r="K161" s="8" t="inlineStr">
        <is>
          <t>'Lady x2'/'Lady x3'/'Lady x5' in Lucky Multiplier Bonus Spin</t>
        </is>
      </c>
      <c r="L161" s="8" t="inlineStr">
        <is>
          <t>substitutes in a win and multiplies the prize for that win by x2/x3/x5 (win-based)</t>
        </is>
      </c>
      <c r="M161" s="7" t="inlineStr">
        <is>
          <t>high</t>
        </is>
      </c>
      <c r="N161" s="7" t="inlineStr">
        <is>
          <t>Red Heiress_AGT_RGS_RevA.doc</t>
        </is>
      </c>
      <c r="O161" s="8" t="inlineStr">
        <is>
          <t>Red Diamond scatter triggers free games; no bet-multiplied displayed prize. Lady xN are wild win-multipliers. Rules use AGT template variables mirrored by concrete text.</t>
        </is>
      </c>
    </row>
    <row r="162">
      <c r="A162" s="7" t="inlineStr">
        <is>
          <t>Red Robin</t>
        </is>
      </c>
      <c r="B162" s="7" t="inlineStr">
        <is>
          <t>no</t>
        </is>
      </c>
      <c r="C162" s="7" t="inlineStr"/>
      <c r="D162" s="7" t="inlineStr">
        <is>
          <t>none</t>
        </is>
      </c>
      <c r="E162" s="7" t="inlineStr"/>
      <c r="F162" s="8" t="inlineStr"/>
      <c r="G162" s="7" t="inlineStr">
        <is>
          <t>numLines=40/50/100</t>
        </is>
      </c>
      <c r="H162" s="7" t="inlineStr">
        <is>
          <t>No</t>
        </is>
      </c>
      <c r="I162" s="7" t="inlineStr">
        <is>
          <t>40</t>
        </is>
      </c>
      <c r="J162" s="8" t="inlineStr">
        <is>
          <t>'Cuckoo Clock' is a scatter. Scatter wins are multiplied by the total credits bet.</t>
        </is>
      </c>
      <c r="K162" s="8" t="inlineStr">
        <is>
          <t>none (Bird is a wild substitute, no multiplier)</t>
        </is>
      </c>
      <c r="L162" s="8" t="inlineStr"/>
      <c r="M162" s="7" t="inlineStr">
        <is>
          <t>high</t>
        </is>
      </c>
      <c r="N162" s="7" t="inlineStr">
        <is>
          <t>Red Robin A560_INT_ tech spec Rev A pf4.doc</t>
        </is>
      </c>
      <c r="O162" s="8" t="inlineStr">
        <is>
          <t>Cuckoo Clock scatter pays fixed paytable values (0/2/10/100) and triggers free games; 'Scatter wins multiplied by total credits bet' is standard paytable-scatter behavior, NOT a value-displaying prize multiplier. No coin/prize symbol present.</t>
        </is>
      </c>
    </row>
    <row r="163">
      <c r="A163" s="7" t="inlineStr">
        <is>
          <t>Red Rose</t>
        </is>
      </c>
      <c r="B163" s="7" t="inlineStr">
        <is>
          <t>no</t>
        </is>
      </c>
      <c r="C163" s="7" t="inlineStr"/>
      <c r="D163" s="7" t="inlineStr">
        <is>
          <t>none</t>
        </is>
      </c>
      <c r="E163" s="7" t="inlineStr"/>
      <c r="F163" s="8" t="inlineStr"/>
      <c r="G163" s="7" t="inlineStr">
        <is>
          <t>numLines=100</t>
        </is>
      </c>
      <c r="H163" s="7" t="inlineStr">
        <is>
          <t>No</t>
        </is>
      </c>
      <c r="I163" s="7" t="inlineStr">
        <is>
          <t>100</t>
        </is>
      </c>
      <c r="J163" s="8" t="inlineStr">
        <is>
          <t>'Bull' is a scatter. 10 Free Games are triggered by any 3 or more scattered 'Bull'.</t>
        </is>
      </c>
      <c r="K163" s="8" t="inlineStr">
        <is>
          <t>Gold Rose wild x1/x2/x3 (feature only)</t>
        </is>
      </c>
      <c r="L163" s="8" t="inlineStr">
        <is>
          <t>multiplies the prize/line win where Gold Rose participates (win-based); Red Rose substitute win x2 in feature</t>
        </is>
      </c>
      <c r="M163" s="7" t="inlineStr">
        <is>
          <t>high</t>
        </is>
      </c>
      <c r="N163" s="7" t="inlineStr">
        <is>
          <t>Red_Rose_AGT_RGS_Rev_A.doc</t>
        </is>
      </c>
      <c r="O163" s="8" t="inlineStr">
        <is>
          <t>Bull scatter pays paytable and triggers free games. Gold Rose is a wild multiplier applied to the winning combination in the Free Games Feature; not a bet-derived prize.</t>
        </is>
      </c>
    </row>
    <row r="164">
      <c r="A164" s="7" t="inlineStr">
        <is>
          <t>RedEclipse Riches_ULG</t>
        </is>
      </c>
      <c r="B164" s="7" t="inlineStr">
        <is>
          <t>yes</t>
        </is>
      </c>
      <c r="C164" s="7" t="inlineStr">
        <is>
          <t>RED MOON (CASH RICHES symbol)</t>
        </is>
      </c>
      <c r="D164" s="7" t="inlineStr">
        <is>
          <t>bet_per_line</t>
        </is>
      </c>
      <c r="E164" s="11" t="inlineStr">
        <is>
          <t>LineBetFromStaticMultiplier</t>
        </is>
      </c>
      <c r="F164" s="8" t="inlineStr">
        <is>
          <t>random prize {1,2,3,5,8,10,25,50,75} x 20 x bet per line</t>
        </is>
      </c>
      <c r="G164" s="7" t="inlineStr">
        <is>
          <t>numLines=20, static=30</t>
        </is>
      </c>
      <c r="H164" s="7" t="inlineStr">
        <is>
          <t>No</t>
        </is>
      </c>
      <c r="I164" s="7" t="inlineStr">
        <is>
          <t>20</t>
        </is>
      </c>
      <c r="J164" s="8" t="inlineStr">
        <is>
          <t>RED MOON are scatters and CASH RICHES symbols which award random prizes of 1, 2, 3, 5, 8, 10, 25, 50 or 75 multiplied by 20 times of the bet per line value ...</t>
        </is>
      </c>
      <c r="K164" s="8" t="inlineStr">
        <is>
          <t>BLACK HAIR WILD *2/*3/*5 (WILD RICHES feature, additive)</t>
        </is>
      </c>
      <c r="L164" s="8" t="inlineStr">
        <is>
          <t>acts as additive multiplier on the winning line pay (win-based)</t>
        </is>
      </c>
      <c r="M164" s="7" t="inlineStr">
        <is>
          <t>high</t>
        </is>
      </c>
      <c r="N164" s="7" t="inlineStr">
        <is>
          <t>RedEclipseRiches_RevA.doc</t>
        </is>
      </c>
      <c r="O164" s="8" t="inlineStr">
        <is>
          <t>Prize explicitly '20 times of the bet per line value' -&gt; bet_per_line. Game also states 'All available bet options are multiplied by static multiplier 30' (total bet basis) but the coin prize is tied to bet per line.</t>
        </is>
      </c>
    </row>
    <row r="165">
      <c r="A165" s="7" t="inlineStr">
        <is>
          <t>Reel Hot 7's Fruit</t>
        </is>
      </c>
      <c r="B165" s="7" t="inlineStr">
        <is>
          <t>no</t>
        </is>
      </c>
      <c r="C165" s="7" t="inlineStr"/>
      <c r="D165" s="7" t="inlineStr">
        <is>
          <t>none</t>
        </is>
      </c>
      <c r="E165" s="7" t="inlineStr"/>
      <c r="F165" s="8" t="inlineStr"/>
      <c r="G165" s="7" t="inlineStr">
        <is>
          <t>numLines=20</t>
        </is>
      </c>
      <c r="H165" s="7" t="inlineStr">
        <is>
          <t>No</t>
        </is>
      </c>
      <c r="I165" s="7" t="inlineStr">
        <is>
          <t>20</t>
        </is>
      </c>
      <c r="J165" s="8" t="inlineStr">
        <is>
          <t>'Star' is a scatter. Any 3 scattered 'Star' trigger 5 free games.</t>
        </is>
      </c>
      <c r="K165" s="8" t="inlineStr">
        <is>
          <t>none</t>
        </is>
      </c>
      <c r="L165" s="8" t="inlineStr"/>
      <c r="M165" s="7" t="inlineStr">
        <is>
          <t>high</t>
        </is>
      </c>
      <c r="N165" s="7" t="inlineStr">
        <is>
          <t>Reel Hot 7's Fruit_AGT_RGS_RevA.doc</t>
        </is>
      </c>
      <c r="O165" s="8" t="inlineStr">
        <is>
          <t>Star scatter pays fixed paytable value (2) and triggers free games. Wild only substitutes. No prize/coin multiplier.</t>
        </is>
      </c>
    </row>
    <row r="166">
      <c r="A166" s="7" t="inlineStr">
        <is>
          <t>Rhino Run</t>
        </is>
      </c>
      <c r="B166" s="7" t="inlineStr">
        <is>
          <t>no</t>
        </is>
      </c>
      <c r="C166" s="7" t="inlineStr"/>
      <c r="D166" s="7" t="inlineStr">
        <is>
          <t>none</t>
        </is>
      </c>
      <c r="E166" s="7" t="inlineStr"/>
      <c r="F166" s="8" t="inlineStr"/>
      <c r="G166" s="7" t="inlineStr">
        <is>
          <t>numLines=40/50/100</t>
        </is>
      </c>
      <c r="H166" s="7" t="inlineStr">
        <is>
          <t>No</t>
        </is>
      </c>
      <c r="I166" s="7" t="inlineStr">
        <is>
          <t>40</t>
        </is>
      </c>
      <c r="J166" s="8" t="inlineStr">
        <is>
          <t>'Mountain' is a scatter. Scatter wins are multiplied by the total credits bet.</t>
        </is>
      </c>
      <c r="K166" s="8" t="inlineStr">
        <is>
          <t>Free-games option: 'Rhino' wins with 'Rhino Run' substituting are multiplied by 2</t>
        </is>
      </c>
      <c r="L166" s="8" t="inlineStr">
        <is>
          <t>multiplies the line win where the wild substitutes (win-based)</t>
        </is>
      </c>
      <c r="M166" s="7" t="inlineStr">
        <is>
          <t>high</t>
        </is>
      </c>
      <c r="N166" s="7" t="inlineStr">
        <is>
          <t>RhinoRun_INT_nonSAP_A560_Apf1.doc</t>
        </is>
      </c>
      <c r="O166" s="8" t="inlineStr">
        <is>
          <t>Mountain scatter pays paytable values and triggers free games; 'multiplied by total credits bet' is standard scatter-pay behavior. The x2 in feature options is a wild-substitution win multiplier.</t>
        </is>
      </c>
    </row>
    <row r="167">
      <c r="A167" s="7" t="inlineStr">
        <is>
          <t>Rich n Wild</t>
        </is>
      </c>
      <c r="B167" s="7" t="inlineStr">
        <is>
          <t>no</t>
        </is>
      </c>
      <c r="C167" s="7" t="inlineStr"/>
      <c r="D167" s="7" t="inlineStr">
        <is>
          <t>none</t>
        </is>
      </c>
      <c r="E167" s="7" t="inlineStr"/>
      <c r="F167" s="8" t="inlineStr"/>
      <c r="G167" s="7" t="inlineStr">
        <is>
          <t>numLines=30</t>
        </is>
      </c>
      <c r="H167" s="7" t="inlineStr">
        <is>
          <t>No</t>
        </is>
      </c>
      <c r="I167" s="7" t="inlineStr">
        <is>
          <t>30</t>
        </is>
      </c>
      <c r="J167" s="8" t="inlineStr">
        <is>
          <t>'Shield' is a scatter. 12 free games are triggered by any 3 or more scattered 'Shield'.</t>
        </is>
      </c>
      <c r="K167" s="8" t="inlineStr">
        <is>
          <t>none</t>
        </is>
      </c>
      <c r="L167" s="8" t="inlineStr"/>
      <c r="M167" s="7" t="inlineStr">
        <is>
          <t>high</t>
        </is>
      </c>
      <c r="N167" s="7" t="inlineStr">
        <is>
          <t>Rich n Wild AGT_RGS_Rev C pf1.doc</t>
        </is>
      </c>
      <c r="O167" s="8" t="inlineStr">
        <is>
          <t>Shield scatter pays paytable values and triggers free games; scatter and line wins are added (no bet-multiplier statement). Chichen Itza only substitutes. No prize/coin multiplier.</t>
        </is>
      </c>
    </row>
    <row r="168">
      <c r="A168" s="7" t="inlineStr">
        <is>
          <t>RichCluckinEggs</t>
        </is>
      </c>
      <c r="B168" s="7" t="inlineStr">
        <is>
          <t>yes</t>
        </is>
      </c>
      <c r="C168" s="7" t="inlineStr">
        <is>
          <t>EGGS (INSTANT PRIZES, HATCHIN' FEATURE)</t>
        </is>
      </c>
      <c r="D168" s="7" t="inlineStr">
        <is>
          <t>total_bet</t>
        </is>
      </c>
      <c r="E168" s="10" t="inlineStr">
        <is>
          <t>TotalBet</t>
        </is>
      </c>
      <c r="F168" s="8" t="inlineStr">
        <is>
          <t>random prize {1,2,3,5,10,25,50,100} x total bet</t>
        </is>
      </c>
      <c r="G168" s="7" t="inlineStr">
        <is>
          <t>numLines=50, static=75</t>
        </is>
      </c>
      <c r="H168" s="7" t="inlineStr">
        <is>
          <t>No</t>
        </is>
      </c>
      <c r="I168" s="7" t="inlineStr">
        <is>
          <t>50</t>
        </is>
      </c>
      <c r="J168" s="8" t="inlineStr">
        <is>
          <t>When hen with 'INSTANT PRIZES' is freed, more 'EGGS' with random Prize of 1, 2, 3, 5, 10, 25, 50 or 100 multiplied by total bet, will be hatched in the HATCHIN' FEATURE.</t>
        </is>
      </c>
      <c r="K168" s="8" t="inlineStr">
        <is>
          <t>WILDX2/WILDX3/WILDX5 (feature); MINI/MINOR bonus n/a here</t>
        </is>
      </c>
      <c r="L168" s="8" t="inlineStr">
        <is>
          <t>winning line amount multiplied by each corresponding multiplier on the symbol (win-based)</t>
        </is>
      </c>
      <c r="M168" s="7" t="inlineStr">
        <is>
          <t>high</t>
        </is>
      </c>
      <c r="N168" s="7" t="inlineStr">
        <is>
          <t>RichCluckinEggs_VerB.doc</t>
        </is>
      </c>
      <c r="O168" s="8" t="inlineStr">
        <is>
          <t>Prize explicitly 'multiplied by total bet' -&gt; total_bet. Game also has static multiplier 75 (ante/total bet), but prize base is stated as total bet directly. Contrast with the Ultimate version which uses 'x50 x bet value'.</t>
        </is>
      </c>
    </row>
    <row r="169">
      <c r="A169" s="7" t="inlineStr">
        <is>
          <t>RichCluckinEggsUltimate</t>
        </is>
      </c>
      <c r="B169" s="7" t="inlineStr">
        <is>
          <t>yes</t>
        </is>
      </c>
      <c r="C169" s="7" t="inlineStr">
        <is>
          <t>EGGS (INSTANT PRIZES, HATCHIN' FEATURE)</t>
        </is>
      </c>
      <c r="D169" s="7" t="inlineStr">
        <is>
          <t>static_multiplier</t>
        </is>
      </c>
      <c r="E169" s="11" t="inlineStr">
        <is>
          <t>LineBetFromStaticMultiplier</t>
        </is>
      </c>
      <c r="F169" s="8" t="inlineStr">
        <is>
          <t>random prize {1,2,3,5,8,10,25,50,75} x 50 x bet value; numLines=50, static=75 -&gt; total_bet*50/75</t>
        </is>
      </c>
      <c r="G169" s="7" t="inlineStr">
        <is>
          <t>numLines=50, static=75</t>
        </is>
      </c>
      <c r="H169" s="7" t="inlineStr">
        <is>
          <t>No</t>
        </is>
      </c>
      <c r="I169" s="7" t="inlineStr">
        <is>
          <t>50</t>
        </is>
      </c>
      <c r="J169" s="8" t="inlineStr">
        <is>
          <t>When hen with 'INSTANT PRIZES' is freed, more 'EGGS' with random Prize of 1, 2, 3, 5, 8, 10, 25, 50 or 75 multiplied by 50 times of the bet value, will be hatched in the HATCHIN' FEATURE</t>
        </is>
      </c>
      <c r="K169" s="8" t="inlineStr">
        <is>
          <t>WILDX2/WILDX3/WILDX5 (feature); MINI/MAXI/GRAND collect-bonus</t>
        </is>
      </c>
      <c r="L169" s="8" t="inlineStr">
        <is>
          <t>winning line amount multiplied by each corresponding multiplier on the symbol (win-based); bonus levels are fixed configured prizes</t>
        </is>
      </c>
      <c r="M169" s="7" t="inlineStr">
        <is>
          <t>high</t>
        </is>
      </c>
      <c r="N169" s="7" t="inlineStr">
        <is>
          <t>RichCluckinEggsUltimate_RevA.doc</t>
        </is>
      </c>
      <c r="O169" s="8" t="inlineStr">
        <is>
          <t>'All available bet options are multiplied by static multiplier 75' + prize 'x50 x bet value' -&gt; static-multiplier ratio total_bet*50/75. numLines(50) coincides with the '50 times' factor.</t>
        </is>
      </c>
    </row>
    <row r="170">
      <c r="A170" s="7" t="inlineStr">
        <is>
          <t>Rio Express</t>
        </is>
      </c>
      <c r="B170" s="7" t="inlineStr">
        <is>
          <t>no</t>
        </is>
      </c>
      <c r="C170" s="7" t="inlineStr"/>
      <c r="D170" s="7" t="inlineStr">
        <is>
          <t>none</t>
        </is>
      </c>
      <c r="E170" s="7" t="inlineStr"/>
      <c r="F170" s="8" t="inlineStr"/>
      <c r="G170" s="7" t="inlineStr">
        <is>
          <t>numLines=30</t>
        </is>
      </c>
      <c r="H170" s="7" t="inlineStr">
        <is>
          <t>No</t>
        </is>
      </c>
      <c r="I170" s="7" t="inlineStr">
        <is>
          <t>30</t>
        </is>
      </c>
      <c r="J170" s="8" t="inlineStr">
        <is>
          <t>'Bull' is a scatter. FREE GAMES FEATURE is triggered by any 3 or more scattered 'Bull'.</t>
        </is>
      </c>
      <c r="K170" s="8" t="inlineStr">
        <is>
          <t>Quad-Shot style bonus prizes (Grand/Major/Minor/Mini) via Overlay symbol</t>
        </is>
      </c>
      <c r="L170" s="8" t="inlineStr">
        <is>
          <t>fixed configured bonus prizes awarded on qualifying 5-of-a-kind wins (not bet-multiplied)</t>
        </is>
      </c>
      <c r="M170" s="7" t="inlineStr">
        <is>
          <t>medium</t>
        </is>
      </c>
      <c r="N170" s="7" t="inlineStr">
        <is>
          <t>Rio Express_AGT_RGS_RevA.DOC</t>
        </is>
      </c>
      <c r="O170" s="8" t="inlineStr">
        <is>
          <t>Bull scatter pays paytable and triggers free games. Rules section is partly boilerplate (feature options left blank). Bonus prizes are fixed config values. No value-displaying scatter/coin multiplier.</t>
        </is>
      </c>
    </row>
    <row r="171">
      <c r="A171" s="7" t="inlineStr">
        <is>
          <t>Rio Riches SAP</t>
        </is>
      </c>
      <c r="B171" s="7" t="inlineStr">
        <is>
          <t>no</t>
        </is>
      </c>
      <c r="C171" s="7" t="inlineStr"/>
      <c r="D171" s="7" t="inlineStr">
        <is>
          <t>none</t>
        </is>
      </c>
      <c r="E171" s="7" t="inlineStr"/>
      <c r="F171" s="8" t="inlineStr"/>
      <c r="G171" s="7" t="inlineStr">
        <is>
          <t>numLines=30</t>
        </is>
      </c>
      <c r="H171" s="7" t="inlineStr">
        <is>
          <t>No</t>
        </is>
      </c>
      <c r="I171" s="7" t="inlineStr">
        <is>
          <t>30</t>
        </is>
      </c>
      <c r="J171" s="8" t="inlineStr">
        <is>
          <t>'Stacked Up' is a scatter. It pays in any position. Any 3 or more scatters trigger 10 free games.</t>
        </is>
      </c>
      <c r="K171" s="8" t="inlineStr">
        <is>
          <t>Golden Beach substitute x2; Bonus prizes (Grand/Major/Maxi/Minor/Mini)</t>
        </is>
      </c>
      <c r="L171" s="8" t="inlineStr">
        <is>
          <t>if Golden Beach substitutes in a line win the pay for that line win is multiplied by 2 (win-based); bonus levels fixed config</t>
        </is>
      </c>
      <c r="M171" s="7" t="inlineStr">
        <is>
          <t>high</t>
        </is>
      </c>
      <c r="N171" s="7" t="inlineStr">
        <is>
          <t>Rio Riches_A560_Online_RevE.DOC</t>
        </is>
      </c>
      <c r="O171" s="8" t="inlineStr">
        <is>
          <t>Stacked Up scatter pays paytable and triggers free games. Golden Beach is a wild-substitute x2 win multiplier. No bet-derived prize symbol.</t>
        </is>
      </c>
    </row>
    <row r="172">
      <c r="A172" s="7" t="inlineStr">
        <is>
          <t>Rise of the Dragon</t>
        </is>
      </c>
      <c r="B172" s="7" t="inlineStr">
        <is>
          <t>yes</t>
        </is>
      </c>
      <c r="C172" s="7" t="inlineStr">
        <is>
          <t>Gold Yin Yang (STICK N SPIN prize symbol)</t>
        </is>
      </c>
      <c r="D172" s="7" t="inlineStr">
        <is>
          <t>total_bet</t>
        </is>
      </c>
      <c r="E172" s="10" t="inlineStr">
        <is>
          <t>TotalBet</t>
        </is>
      </c>
      <c r="F172" s="8" t="inlineStr">
        <is>
          <t>random prize {1,2,3,5,10,25,50,100,250} x total bet (or fixed MAJOR/MINOR/MINI)</t>
        </is>
      </c>
      <c r="G172" s="7" t="inlineStr">
        <is>
          <t>numLines=50/100</t>
        </is>
      </c>
      <c r="H172" s="7" t="inlineStr">
        <is>
          <t>No</t>
        </is>
      </c>
      <c r="I172" s="7" t="inlineStr">
        <is>
          <t>100</t>
        </is>
      </c>
      <c r="J172" s="8" t="inlineStr">
        <is>
          <t>'Gold Yin Yang' symbol always appears on screen with a random Prize of 1, 2, 3, 5, 10, 25, 50, 100 or 250 multiplied by total bet OR with MAJOR, MINOR or MINI as displayed.</t>
        </is>
      </c>
      <c r="K172" s="8" t="inlineStr">
        <is>
          <t>none (Wild only substitutes); Grand bonus fixed</t>
        </is>
      </c>
      <c r="L172" s="8" t="inlineStr"/>
      <c r="M172" s="7" t="inlineStr">
        <is>
          <t>high</t>
        </is>
      </c>
      <c r="N172" s="7" t="inlineStr">
        <is>
          <t>RiseOfTheDragon_AGT_RGS_RevA.doc</t>
        </is>
      </c>
      <c r="O172" s="8" t="inlineStr">
        <is>
          <t>Gold Yin Yang is a coin/prize scatter displaying prize x total bet; drives STICK N SPIN. Base explicitly total bet.</t>
        </is>
      </c>
    </row>
    <row r="173">
      <c r="A173" s="7" t="inlineStr">
        <is>
          <t>Rise of the Tiger</t>
        </is>
      </c>
      <c r="B173" s="7" t="inlineStr">
        <is>
          <t>yes</t>
        </is>
      </c>
      <c r="C173" s="7" t="inlineStr">
        <is>
          <t>Gold Yin Yang (STICK N SPIN prize symbol)</t>
        </is>
      </c>
      <c r="D173" s="7" t="inlineStr">
        <is>
          <t>total_bet</t>
        </is>
      </c>
      <c r="E173" s="10" t="inlineStr">
        <is>
          <t>TotalBet</t>
        </is>
      </c>
      <c r="F173" s="8" t="inlineStr">
        <is>
          <t>random prize {1,2,3,5,10,25,50,100,250} x total bet (or fixed MAJOR/MINOR/MINI)</t>
        </is>
      </c>
      <c r="G173" s="7" t="inlineStr">
        <is>
          <t>numLines=50/100</t>
        </is>
      </c>
      <c r="H173" s="7" t="inlineStr">
        <is>
          <t>No</t>
        </is>
      </c>
      <c r="I173" s="7" t="inlineStr">
        <is>
          <t>100</t>
        </is>
      </c>
      <c r="J173" s="8" t="inlineStr">
        <is>
          <t>'Gold Yin Yang' symbol always appears on screen with a random Prize of 1, 2, 3, 5, 10, 25, 50, 100 or 250 multiplied by total bet OR with MAJOR, MINOR or MINI as displayed.</t>
        </is>
      </c>
      <c r="K173" s="8" t="inlineStr">
        <is>
          <t>none (Wild only substitutes); Grand bonus fixed</t>
        </is>
      </c>
      <c r="L173" s="8" t="inlineStr"/>
      <c r="M173" s="7" t="inlineStr">
        <is>
          <t>high</t>
        </is>
      </c>
      <c r="N173" s="7" t="inlineStr">
        <is>
          <t>Rise of the Tiger_AGT_RGS_RevA.doc</t>
        </is>
      </c>
      <c r="O173" s="8" t="inlineStr">
        <is>
          <t>Same mechanic as Rise of the Dragon. Gold Yin Yang prize x total bet.</t>
        </is>
      </c>
    </row>
    <row r="174">
      <c r="A174" s="7" t="inlineStr">
        <is>
          <t>Roaming Reels Raging Rooster Reloaded</t>
        </is>
      </c>
      <c r="B174" s="7" t="inlineStr">
        <is>
          <t>no</t>
        </is>
      </c>
      <c r="C174" s="7" t="inlineStr"/>
      <c r="D174" s="7" t="inlineStr">
        <is>
          <t>none</t>
        </is>
      </c>
      <c r="E174" s="7" t="inlineStr"/>
      <c r="F174" s="8" t="inlineStr"/>
      <c r="G174" s="7" t="inlineStr">
        <is>
          <t>numLines=25</t>
        </is>
      </c>
      <c r="H174" s="7" t="inlineStr">
        <is>
          <t>No</t>
        </is>
      </c>
      <c r="I174" s="7" t="inlineStr">
        <is>
          <t>25</t>
        </is>
      </c>
      <c r="J174" s="8" t="inlineStr">
        <is>
          <t>'Tree' is a scatter. 20, 12 or 8 free games are triggered by any 5, 4 or 3 scattered 'Tree' respectively.</t>
        </is>
      </c>
      <c r="K174" s="8" t="inlineStr">
        <is>
          <t>Raging Roosters Reloaded bonus prizes (Grand/Major/Minor/Mini)</t>
        </is>
      </c>
      <c r="L174" s="8" t="inlineStr">
        <is>
          <t>fixed configured bonus prizes based on bout wins (not bet-multiplied)</t>
        </is>
      </c>
      <c r="M174" s="7" t="inlineStr">
        <is>
          <t>high</t>
        </is>
      </c>
      <c r="N174" s="7" t="inlineStr">
        <is>
          <t>Roaming Reels RR AGT_RGS_Rev A.doc</t>
        </is>
      </c>
      <c r="O174" s="8" t="inlineStr">
        <is>
          <t>Tree scatter pays paytable and triggers free games. Bonus prizes fixed. No coin/prize multiplier symbol.</t>
        </is>
      </c>
    </row>
    <row r="175">
      <c r="A175" s="7" t="inlineStr">
        <is>
          <t>Roaming Reels</t>
        </is>
      </c>
      <c r="B175" s="7" t="inlineStr">
        <is>
          <t>no</t>
        </is>
      </c>
      <c r="C175" s="7" t="inlineStr"/>
      <c r="D175" s="7" t="inlineStr">
        <is>
          <t>none</t>
        </is>
      </c>
      <c r="E175" s="7" t="inlineStr"/>
      <c r="F175" s="8" t="inlineStr"/>
      <c r="G175" s="7" t="inlineStr">
        <is>
          <t>numLines=100</t>
        </is>
      </c>
      <c r="H175" s="7" t="inlineStr">
        <is>
          <t>No</t>
        </is>
      </c>
      <c r="I175" s="7" t="inlineStr">
        <is>
          <t>1</t>
        </is>
      </c>
      <c r="J175" s="8" t="inlineStr">
        <is>
          <t>'Tree' is a scatter. 20, 12 or 8 free games are triggered by any 5, 4 or 3 scattered 'Tree' respectively.</t>
        </is>
      </c>
      <c r="K175" s="8" t="inlineStr">
        <is>
          <t>none</t>
        </is>
      </c>
      <c r="L175" s="8" t="inlineStr"/>
      <c r="M175" s="7" t="inlineStr">
        <is>
          <t>high</t>
        </is>
      </c>
      <c r="N175" s="7" t="inlineStr">
        <is>
          <t>Roaming Reels AGT_RGS_Rev C.doc</t>
        </is>
      </c>
      <c r="O175" s="8" t="inlineStr">
        <is>
          <t>Tree scatter pays paytable and triggers free games. Lion only substitutes. No prize/coin multiplier.</t>
        </is>
      </c>
    </row>
    <row r="176">
      <c r="A176" s="7" t="inlineStr">
        <is>
          <t>RoamingReelsEnergized</t>
        </is>
      </c>
      <c r="B176" s="7" t="inlineStr">
        <is>
          <t>no</t>
        </is>
      </c>
      <c r="C176" s="7" t="inlineStr"/>
      <c r="D176" s="7" t="inlineStr">
        <is>
          <t>none</t>
        </is>
      </c>
      <c r="E176" s="7" t="inlineStr"/>
      <c r="F176" s="8" t="inlineStr"/>
      <c r="G176" s="7" t="inlineStr">
        <is>
          <t>numLines=100</t>
        </is>
      </c>
      <c r="H176" s="7" t="inlineStr">
        <is>
          <t>No</t>
        </is>
      </c>
      <c r="I176" s="7" t="inlineStr">
        <is>
          <t>1</t>
        </is>
      </c>
      <c r="J176" s="8" t="inlineStr">
        <is>
          <t>'Tree' is a scatter. 20, 12 or 8 free games are triggered by any 5, 4 or 3 scattered 'Tree' respectively.</t>
        </is>
      </c>
      <c r="K176" s="8" t="inlineStr">
        <is>
          <t>none</t>
        </is>
      </c>
      <c r="L176" s="8" t="inlineStr"/>
      <c r="M176" s="7" t="inlineStr">
        <is>
          <t>high</t>
        </is>
      </c>
      <c r="N176" s="7" t="inlineStr">
        <is>
          <t>RoamingReelsEnergized.doc</t>
        </is>
      </c>
      <c r="O176" s="8" t="inlineStr">
        <is>
          <t>Identical mechanics to Roaming Reels. Tree scatter pays paytable and triggers free games. No prize/coin multiplier.</t>
        </is>
      </c>
    </row>
    <row r="177">
      <c r="A177" s="7" t="inlineStr">
        <is>
          <t>Roaring Riches</t>
        </is>
      </c>
      <c r="B177" s="7" t="inlineStr">
        <is>
          <t>no</t>
        </is>
      </c>
      <c r="C177" s="7" t="inlineStr"/>
      <c r="D177" s="7" t="inlineStr">
        <is>
          <t>none</t>
        </is>
      </c>
      <c r="E177" s="7" t="inlineStr"/>
      <c r="F177" s="8" t="inlineStr"/>
      <c r="G177" s="7" t="inlineStr">
        <is>
          <t>numLines=40/50/100</t>
        </is>
      </c>
      <c r="H177" s="7" t="inlineStr">
        <is>
          <t>No</t>
        </is>
      </c>
      <c r="I177" s="7" t="inlineStr">
        <is>
          <t>40</t>
        </is>
      </c>
      <c r="J177" s="8" t="inlineStr">
        <is>
          <t>'Roaring Riches' is a scatter. Scatter wins are multiplied by the total credits bet.</t>
        </is>
      </c>
      <c r="K177" s="8" t="inlineStr">
        <is>
          <t>Feature Multiplier x1/x2/x3 (accumulating, revealed on Roaring Riches, max 10)</t>
        </is>
      </c>
      <c r="L177" s="8" t="inlineStr">
        <is>
          <t>all wins are multiplied by the accumulated Feature Multiplier (win-based)</t>
        </is>
      </c>
      <c r="M177" s="7" t="inlineStr">
        <is>
          <t>high</t>
        </is>
      </c>
      <c r="N177" s="7" t="inlineStr">
        <is>
          <t>Roaring Riches INT NonSAP Dpf1.doc</t>
        </is>
      </c>
      <c r="O177" s="8" t="inlineStr">
        <is>
          <t>Roaring Riches scatter pays paytable values; 'multiplied by total credits bet' is standard scatter-pay behavior. In free games each scatter reveals x1/x2/x3 building a Feature Multiplier applied to wins (win-based), not a bet-derived prize.</t>
        </is>
      </c>
    </row>
    <row r="178">
      <c r="A178" s="7" t="inlineStr">
        <is>
          <t>RobTheBankMegaLoot_MLD</t>
        </is>
      </c>
      <c r="B178" s="7" t="inlineStr">
        <is>
          <t>yes</t>
        </is>
      </c>
      <c r="C178" s="7" t="inlineStr">
        <is>
          <t>RED DIAMOND (CASH LOOT symbol)</t>
        </is>
      </c>
      <c r="D178" s="7" t="inlineStr">
        <is>
          <t>bet_per_line</t>
        </is>
      </c>
      <c r="E178" s="11" t="inlineStr">
        <is>
          <t>LineBetFromStaticMultiplier</t>
        </is>
      </c>
      <c r="F178" s="8" t="inlineStr">
        <is>
          <t>random prize {1,2,3,5,8,10,25,50,75} x 50 x bet per line</t>
        </is>
      </c>
      <c r="G178" s="7" t="inlineStr">
        <is>
          <t>numLines=50, static=75</t>
        </is>
      </c>
      <c r="H178" s="7" t="inlineStr">
        <is>
          <t>No</t>
        </is>
      </c>
      <c r="I178" s="7" t="inlineStr">
        <is>
          <t>50</t>
        </is>
      </c>
      <c r="J178" s="8" t="inlineStr">
        <is>
          <t>RED DIAMOND are scatters and CASH LOOT symbols which award random prizes of 1, 2, 3, 5, 8, 10, 25, 50 or 75 multiplied by 50 times of the bet per line value ...</t>
        </is>
      </c>
      <c r="K178" s="8" t="inlineStr">
        <is>
          <t>BONUS LOOT collect prizes (Mini/Minor/Maxi/Major/Grand)</t>
        </is>
      </c>
      <c r="L178" s="8" t="inlineStr">
        <is>
          <t>fixed configured bonus prizes; Wild only substitutes</t>
        </is>
      </c>
      <c r="M178" s="7" t="inlineStr">
        <is>
          <t>high</t>
        </is>
      </c>
      <c r="N178" s="7" t="inlineStr">
        <is>
          <t>RobTheBankMegaLoot_RevA.doc</t>
        </is>
      </c>
      <c r="O178" s="8" t="inlineStr">
        <is>
          <t>Prize explicitly '50 times of the bet per line value' -&gt; bet_per_line. Game also states 'All available bet options are multiplied by static multiplier 75' (total-bet basis), but the coin prize is tied to bet per line.</t>
        </is>
      </c>
    </row>
    <row r="179">
      <c r="A179" s="7" t="inlineStr">
        <is>
          <t>RocketFrenzy</t>
        </is>
      </c>
      <c r="B179" s="7" t="inlineStr">
        <is>
          <t>yes</t>
        </is>
      </c>
      <c r="C179" s="7" t="inlineStr">
        <is>
          <t>PINK/BLUE/GREEN/RED ORB and SPECIAL RED ORB (CLEAR ORB prizes)</t>
        </is>
      </c>
      <c r="D179" s="7" t="inlineStr">
        <is>
          <t>static_multiplier</t>
        </is>
      </c>
      <c r="E179" s="11" t="inlineStr">
        <is>
          <t>LineBetFromStaticMultiplier</t>
        </is>
      </c>
      <c r="F179" s="8" t="inlineStr">
        <is>
          <t>orb prizes quoted 'for each 80 total bet' -&gt; prize * total_bet / 80 (ref total bet 0.80 / 80c)</t>
        </is>
      </c>
      <c r="G179" s="7" t="inlineStr">
        <is>
          <t>1024 ways; prize reference = 80 total bet (Bonus prizes quoted at Bet 80c)</t>
        </is>
      </c>
      <c r="H179" s="7" t="inlineStr">
        <is>
          <t>No</t>
        </is>
      </c>
      <c r="I179" s="7" t="inlineStr"/>
      <c r="J179" s="8" t="inlineStr">
        <is>
          <t>When 'PINK ORB' orb detonates, it reveals a random prize of 12, 22 or 35 for each 80 total bet or 'MINI' or 'MINOR'. ... 'SPECIAL RED ORB' reveals random prize of 1600 ... 8000 for each 80 total bet.</t>
        </is>
      </c>
      <c r="K179" s="8" t="inlineStr">
        <is>
          <t>Bonus prizes MINI/MINOR/MAJOR/GRAND (fixed config)</t>
        </is>
      </c>
      <c r="L179" s="8" t="inlineStr">
        <is>
          <t>fixed configured bonus prizes; Wild only substitutes</t>
        </is>
      </c>
      <c r="M179" s="7" t="inlineStr">
        <is>
          <t>medium</t>
        </is>
      </c>
      <c r="N179" s="7" t="inlineStr">
        <is>
          <t>RocketFrenzyDiner.doc</t>
        </is>
      </c>
      <c r="O179" s="8" t="inlineStr">
        <is>
          <t>Orbs are feature prize symbols (not classic reel scatters) whose values scale with total bet in units of 80 ('for each 80 total bet'). Base is total-bet-proportional with a fixed /80 ratio; classified as static_multiplier. Could equally be read as total_bet scaled by 1/80. 1024-ways game (no paylines).</t>
        </is>
      </c>
    </row>
    <row r="180">
      <c r="A180" s="7" t="inlineStr">
        <is>
          <t>Roma Invicta</t>
        </is>
      </c>
      <c r="B180" s="7" t="inlineStr">
        <is>
          <t>no</t>
        </is>
      </c>
      <c r="C180" s="7" t="inlineStr"/>
      <c r="D180" s="7" t="inlineStr">
        <is>
          <t>none</t>
        </is>
      </c>
      <c r="E180" s="7" t="inlineStr"/>
      <c r="F180" s="8" t="inlineStr"/>
      <c r="G180" s="7" t="inlineStr">
        <is>
          <t>numLines=20</t>
        </is>
      </c>
      <c r="H180" s="7" t="inlineStr">
        <is>
          <t>No</t>
        </is>
      </c>
      <c r="I180" s="7" t="inlineStr">
        <is>
          <t>20</t>
        </is>
      </c>
      <c r="J180" s="8" t="inlineStr">
        <is>
          <t>'Lion' is a scatter. During paid games, any 3 or more scattered 'Lion' trigger the 'Emperor's choice'.</t>
        </is>
      </c>
      <c r="K180" s="8" t="inlineStr">
        <is>
          <t>Emperor's Choice x2/x4/x8 (feature)</t>
        </is>
      </c>
      <c r="L180" s="8" t="inlineStr">
        <is>
          <t>any win with 1 or more Wild substituting is multiplied by 2/4/8 (win-based)</t>
        </is>
      </c>
      <c r="M180" s="7" t="inlineStr">
        <is>
          <t>high</t>
        </is>
      </c>
      <c r="N180" s="7" t="inlineStr">
        <is>
          <t>Roma Invicta_AGT_RGS_RevA.doc</t>
        </is>
      </c>
      <c r="O180" s="8" t="inlineStr">
        <is>
          <t>Lion scatter pays paytable and triggers free games. x2/x4/x8 is a wild-substitution win multiplier in the feature; not a bet-derived prize.</t>
        </is>
      </c>
    </row>
    <row r="181">
      <c r="A181" s="7" t="inlineStr">
        <is>
          <t>Royal Diamonds (Quad Shot)</t>
        </is>
      </c>
      <c r="B181" s="7" t="inlineStr">
        <is>
          <t>no</t>
        </is>
      </c>
      <c r="C181" s="7" t="inlineStr"/>
      <c r="D181" s="7" t="inlineStr">
        <is>
          <t>none</t>
        </is>
      </c>
      <c r="E181" s="7" t="inlineStr"/>
      <c r="F181" s="8" t="inlineStr"/>
      <c r="G181" s="7" t="inlineStr">
        <is>
          <t>numLines=25</t>
        </is>
      </c>
      <c r="H181" s="7" t="inlineStr">
        <is>
          <t>No</t>
        </is>
      </c>
      <c r="I181" s="7" t="inlineStr">
        <is>
          <t>25</t>
        </is>
      </c>
      <c r="J181" s="8" t="inlineStr">
        <is>
          <t>'Diamond' is a scatter. Free Games Feature is triggered by any 3 or more scattered 'Diamond'.</t>
        </is>
      </c>
      <c r="K181" s="8" t="inlineStr">
        <is>
          <t>QUAD Shot Bonus prizes (Major/Maxi/Minor/Mini)</t>
        </is>
      </c>
      <c r="L181" s="8" t="inlineStr">
        <is>
          <t>fixed configured bonus prizes awarded on qualifying 5-of-a-kind wins with QUAD Shot BONUS symbol</t>
        </is>
      </c>
      <c r="M181" s="7" t="inlineStr">
        <is>
          <t>high</t>
        </is>
      </c>
      <c r="N181" s="7" t="inlineStr">
        <is>
          <t>Royal Diamonds_AGT_RGS_RevA.DOC</t>
        </is>
      </c>
      <c r="O181" s="8" t="inlineStr">
        <is>
          <t>Diamond scatter pays paytable and triggers free games. Bonus prizes fixed config. No value-displaying coin/prize multiplier.</t>
        </is>
      </c>
    </row>
    <row r="182">
      <c r="A182" s="7" t="inlineStr">
        <is>
          <t>Royal Swan QS</t>
        </is>
      </c>
      <c r="B182" s="7" t="inlineStr">
        <is>
          <t>no</t>
        </is>
      </c>
      <c r="C182" s="7" t="inlineStr"/>
      <c r="D182" s="7" t="inlineStr">
        <is>
          <t>none</t>
        </is>
      </c>
      <c r="E182" s="7" t="inlineStr"/>
      <c r="F182" s="8" t="inlineStr"/>
      <c r="G182" s="7" t="inlineStr">
        <is>
          <t>numLines=25/50</t>
        </is>
      </c>
      <c r="H182" s="7" t="inlineStr">
        <is>
          <t>No</t>
        </is>
      </c>
      <c r="I182" s="7" t="inlineStr">
        <is>
          <t>25</t>
        </is>
      </c>
      <c r="J182" s="8" t="inlineStr">
        <is>
          <t>'Temple' is a scatter. 10 free games are triggered by any 3 or more scattered 'Temple'.</t>
        </is>
      </c>
      <c r="K182" s="8" t="inlineStr">
        <is>
          <t>QUAD Shot Bonus prizes (Major/Maxi/Minor/Mini)</t>
        </is>
      </c>
      <c r="L182" s="8" t="inlineStr">
        <is>
          <t>fixed configured bonus prizes awarded with QUAD Shot BONUS symbol</t>
        </is>
      </c>
      <c r="M182" s="7" t="inlineStr">
        <is>
          <t>high</t>
        </is>
      </c>
      <c r="N182" s="7" t="inlineStr">
        <is>
          <t>Royal Swan_AGT_RGS_RevA.docx</t>
        </is>
      </c>
      <c r="O182" s="8" t="inlineStr">
        <is>
          <t>Temple/Jewel scatter pays paytable and triggers free games. Quad Shot bonus prizes fixed config. No coin/prize multiplier.</t>
        </is>
      </c>
    </row>
    <row r="183">
      <c r="A183" s="7" t="inlineStr">
        <is>
          <t>Rumba Salsa Mambo</t>
        </is>
      </c>
      <c r="B183" s="7" t="inlineStr">
        <is>
          <t>no</t>
        </is>
      </c>
      <c r="C183" s="7" t="inlineStr"/>
      <c r="D183" s="7" t="inlineStr">
        <is>
          <t>none</t>
        </is>
      </c>
      <c r="E183" s="7" t="inlineStr"/>
      <c r="F183" s="8" t="inlineStr"/>
      <c r="G183" s="7" t="inlineStr">
        <is>
          <t>numLines=30</t>
        </is>
      </c>
      <c r="H183" s="7" t="inlineStr">
        <is>
          <t>No</t>
        </is>
      </c>
      <c r="I183" s="7" t="inlineStr">
        <is>
          <t>30</t>
        </is>
      </c>
      <c r="J183" s="8" t="inlineStr">
        <is>
          <t>'Music Notes' is a scatter. 25, 18 or 10 free games are triggered by any scattered 5, 4 or 3 'Music Notes' respectively.</t>
        </is>
      </c>
      <c r="K183" s="8" t="inlineStr">
        <is>
          <t>Free Games: all wins TRIPLED (x3)</t>
        </is>
      </c>
      <c r="L183" s="8" t="inlineStr">
        <is>
          <t>all wins multiplied by 3 during the Free Games Feature (win-based)</t>
        </is>
      </c>
      <c r="M183" s="7" t="inlineStr">
        <is>
          <t>high</t>
        </is>
      </c>
      <c r="N183" s="7" t="inlineStr">
        <is>
          <t>RumbaSalsaMambo_AGT_RGS_Rev_A.doc</t>
        </is>
      </c>
      <c r="O183" s="8" t="inlineStr">
        <is>
          <t>Music Notes scatter pays paytable and triggers free games. Feature applies a flat x3 to wins (win-based), not a bet-derived prize.</t>
        </is>
      </c>
    </row>
    <row r="184">
      <c r="A184" s="7" t="inlineStr">
        <is>
          <t>Rumble Rumble</t>
        </is>
      </c>
      <c r="B184" s="7" t="inlineStr">
        <is>
          <t>no</t>
        </is>
      </c>
      <c r="C184" s="7" t="inlineStr"/>
      <c r="D184" s="7" t="inlineStr">
        <is>
          <t>none</t>
        </is>
      </c>
      <c r="E184" s="7" t="inlineStr"/>
      <c r="F184" s="8" t="inlineStr"/>
      <c r="G184" s="7" t="inlineStr">
        <is>
          <t>numLines=100</t>
        </is>
      </c>
      <c r="H184" s="7" t="inlineStr">
        <is>
          <t>No</t>
        </is>
      </c>
      <c r="I184" s="7" t="inlineStr">
        <is>
          <t>100</t>
        </is>
      </c>
      <c r="J184" s="8" t="inlineStr">
        <is>
          <t>'Coin' and 'Wild Coin' are scatters. Scatter wins and line wins are added.</t>
        </is>
      </c>
      <c r="K184" s="8" t="inlineStr">
        <is>
          <t>none (Fire Bull transforms symbols to Wild; no multiplier)</t>
        </is>
      </c>
      <c r="L184" s="8" t="inlineStr"/>
      <c r="M184" s="7" t="inlineStr">
        <is>
          <t>high</t>
        </is>
      </c>
      <c r="N184" s="7" t="inlineStr">
        <is>
          <t>Rumble Rumble AGT_RGS_Rev F.doc</t>
        </is>
      </c>
      <c r="O184" s="8" t="inlineStr">
        <is>
          <t>Coin scatter pays fixed paytable values (1/10/100) and triggers free games; scatter and line wins are added (no bet-multiplier statement). Fire Bull transforms symbols to Wild/Wild Coin but adds no multiplier. No value-displaying prize.</t>
        </is>
      </c>
    </row>
    <row r="185">
      <c r="A185" s="7" t="inlineStr">
        <is>
          <t>RumbleRumbleEnergized</t>
        </is>
      </c>
      <c r="B185" s="7" t="inlineStr">
        <is>
          <t>no</t>
        </is>
      </c>
      <c r="C185" s="7" t="inlineStr"/>
      <c r="D185" s="7" t="inlineStr">
        <is>
          <t>none</t>
        </is>
      </c>
      <c r="E185" s="7" t="inlineStr"/>
      <c r="F185" s="8" t="inlineStr"/>
      <c r="G185" s="7" t="inlineStr">
        <is>
          <t>numLines=100</t>
        </is>
      </c>
      <c r="H185" s="7" t="inlineStr">
        <is>
          <t>No</t>
        </is>
      </c>
      <c r="I185" s="7" t="inlineStr">
        <is>
          <t>100</t>
        </is>
      </c>
      <c r="J185" s="8" t="inlineStr">
        <is>
          <t>'Coin' and 'Wild Coin' are scatters. ... 8 free games are triggered by any 3 or more scatters.</t>
        </is>
      </c>
      <c r="K185" s="8" t="inlineStr">
        <is>
          <t>none numeric (Fire Bull transforms reel symbols to Wild/Wild Coin)</t>
        </is>
      </c>
      <c r="L185" s="8" t="inlineStr"/>
      <c r="M185" s="7" t="inlineStr">
        <is>
          <t>high</t>
        </is>
      </c>
      <c r="N185" s="7" t="inlineStr">
        <is>
          <t>RumbleRumbleEnergized_AGT_RevA.doc</t>
        </is>
      </c>
      <c r="O185" s="8" t="inlineStr">
        <is>
          <t>Coin scatter pays via the paytable (My: 1/10/100) and triggers the Fire Bull free games; no bet-multiplied scatter prize display.</t>
        </is>
      </c>
    </row>
    <row r="186">
      <c r="A186" s="7" t="inlineStr">
        <is>
          <t>RumbleRumbleTripleShot</t>
        </is>
      </c>
      <c r="B186" s="7" t="inlineStr">
        <is>
          <t>no</t>
        </is>
      </c>
      <c r="C186" s="7" t="inlineStr"/>
      <c r="D186" s="7" t="inlineStr">
        <is>
          <t>none</t>
        </is>
      </c>
      <c r="E186" s="7" t="inlineStr"/>
      <c r="F186" s="8" t="inlineStr"/>
      <c r="G186" s="7" t="inlineStr">
        <is>
          <t>numLines=50, AnteBet/static=75</t>
        </is>
      </c>
      <c r="H186" s="7" t="inlineStr">
        <is>
          <t>No</t>
        </is>
      </c>
      <c r="I186" s="7" t="inlineStr">
        <is>
          <t>50</t>
        </is>
      </c>
      <c r="J186" s="8" t="inlineStr">
        <is>
          <t>[Sticky Wild Games Coin][Bonus Prize Games Coin][Extra Spins Games Coin][+1 Extra Game] are scatters. ... All available bet options are multiplied by static multiplier '75'.</t>
        </is>
      </c>
      <c r="K186" s="8" t="inlineStr">
        <is>
          <t>none numeric (wild substitutes); bonus collect prizes Mini..Grand</t>
        </is>
      </c>
      <c r="L186" s="8" t="inlineStr"/>
      <c r="M186" s="7" t="inlineStr">
        <is>
          <t>high</t>
        </is>
      </c>
      <c r="N186" s="7" t="inlineStr">
        <is>
          <t>RumbleRumbleTripleShot.docx</t>
        </is>
      </c>
      <c r="O186" s="8" t="inlineStr">
        <is>
          <t>Clone of San Fa Dragons. Coins are feature-trigger scatters; bonus prizes via collecting empty coins (Grand 500..Mini 3 at bet 1c). Static multiplier 75 present but NO scatter prize multiplied by bet, so base=none.</t>
        </is>
      </c>
    </row>
    <row r="187">
      <c r="A187" s="7" t="inlineStr">
        <is>
          <t>Run With The Wolves QS</t>
        </is>
      </c>
      <c r="B187" s="7" t="inlineStr">
        <is>
          <t>no</t>
        </is>
      </c>
      <c r="C187" s="7" t="inlineStr"/>
      <c r="D187" s="7" t="inlineStr">
        <is>
          <t>none</t>
        </is>
      </c>
      <c r="E187" s="7" t="inlineStr"/>
      <c r="F187" s="8" t="inlineStr"/>
      <c r="G187" s="7" t="inlineStr">
        <is>
          <t>numLines=25</t>
        </is>
      </c>
      <c r="H187" s="7" t="inlineStr">
        <is>
          <t>No</t>
        </is>
      </c>
      <c r="I187" s="7" t="inlineStr">
        <is>
          <t>25</t>
        </is>
      </c>
      <c r="J187" s="8" t="inlineStr">
        <is>
          <t>'Logo' is a scatter. ... Any 3 or more scatters trigger this Feature.</t>
        </is>
      </c>
      <c r="K187" s="8" t="inlineStr">
        <is>
          <t>free games options: all wins with 'Wolf' (wild) substituting x2 or x3</t>
        </is>
      </c>
      <c r="L187" s="8" t="inlineStr">
        <is>
          <t>multiplies the line win (win-based)</t>
        </is>
      </c>
      <c r="M187" s="7" t="inlineStr">
        <is>
          <t>high</t>
        </is>
      </c>
      <c r="N187" s="7" t="inlineStr">
        <is>
          <t>Run With The Wolves_AGT_RGS_RevF.doc</t>
        </is>
      </c>
      <c r="O187" s="8" t="inlineStr">
        <is>
          <t>Logo scatter pays via paytable and triggers free games; Quad Shot Bonus present. No bet-multiplied scatter prize.</t>
        </is>
      </c>
    </row>
    <row r="188">
      <c r="A188" s="7" t="inlineStr">
        <is>
          <t>Safari Spirit</t>
        </is>
      </c>
      <c r="B188" s="7" t="inlineStr">
        <is>
          <t>no</t>
        </is>
      </c>
      <c r="C188" s="7" t="inlineStr"/>
      <c r="D188" s="7" t="inlineStr">
        <is>
          <t>none</t>
        </is>
      </c>
      <c r="E188" s="7" t="inlineStr"/>
      <c r="F188" s="8" t="inlineStr"/>
      <c r="G188" s="7" t="inlineStr">
        <is>
          <t>numLines=1..30 (Bet Per Line=1 credit)</t>
        </is>
      </c>
      <c r="H188" s="7" t="inlineStr">
        <is>
          <t>No</t>
        </is>
      </c>
      <c r="I188" s="7" t="inlineStr">
        <is>
          <t>1</t>
        </is>
      </c>
      <c r="J188" s="8" t="inlineStr">
        <is>
          <t>'Landscape' is a scatter. ... 20, 12 or 8 free games are triggered by any 5, 4 or 3 scattered 'Landscape' respectively.</t>
        </is>
      </c>
      <c r="K188" s="8" t="inlineStr">
        <is>
          <t>free games: Paw wins x2</t>
        </is>
      </c>
      <c r="L188" s="8" t="inlineStr">
        <is>
          <t>multiplies the specific-symbol line win (win-based)</t>
        </is>
      </c>
      <c r="M188" s="7" t="inlineStr">
        <is>
          <t>high</t>
        </is>
      </c>
      <c r="N188" s="7" t="inlineStr">
        <is>
          <t>Safari Spirit Game.doc</t>
        </is>
      </c>
      <c r="O188" s="8" t="inlineStr">
        <is>
          <t>Landscape scatter pays via paytable and triggers free games; no bet-multiplied scatter prize.</t>
        </is>
      </c>
    </row>
    <row r="189">
      <c r="A189" s="7" t="inlineStr">
        <is>
          <t>SanFaCoins</t>
        </is>
      </c>
      <c r="B189" s="7" t="inlineStr">
        <is>
          <t>no</t>
        </is>
      </c>
      <c r="C189" s="7" t="inlineStr"/>
      <c r="D189" s="7" t="inlineStr">
        <is>
          <t>none</t>
        </is>
      </c>
      <c r="E189" s="7" t="inlineStr"/>
      <c r="F189" s="8" t="inlineStr"/>
      <c r="G189" s="7" t="inlineStr">
        <is>
          <t>numLines=50, AnteBet/static=75</t>
        </is>
      </c>
      <c r="H189" s="7" t="inlineStr">
        <is>
          <t>No</t>
        </is>
      </c>
      <c r="I189" s="7" t="inlineStr">
        <is>
          <t>50</t>
        </is>
      </c>
      <c r="J189" s="8" t="inlineStr">
        <is>
          <t>All bets initiate 50 lines play. Coins are scatters. ... Any combination of 1 or more [Sticky Free Games Coin][Bonus Free Games Coin][Extra Free Games Coin] may randomly trigger 8 Free Games.</t>
        </is>
      </c>
      <c r="K189" s="8" t="inlineStr">
        <is>
          <t>none numeric (wild substitutes); bonus collect prizes Mini..Grand</t>
        </is>
      </c>
      <c r="L189" s="8" t="inlineStr"/>
      <c r="M189" s="7" t="inlineStr">
        <is>
          <t>high</t>
        </is>
      </c>
      <c r="N189" s="7" t="inlineStr">
        <is>
          <t>SanFaCoins.docx</t>
        </is>
      </c>
      <c r="O189" s="8" t="inlineStr">
        <is>
          <t>San Fa Dragons family clone. Coins are feature-trigger scatters; bonus prizes via collecting empty coins (Grand 500..Mini 3 at bet 1c). No scatter prize multiplied by bet.</t>
        </is>
      </c>
    </row>
    <row r="190">
      <c r="A190" s="7" t="inlineStr">
        <is>
          <t>SanFaDragons</t>
        </is>
      </c>
      <c r="B190" s="7" t="inlineStr">
        <is>
          <t>no</t>
        </is>
      </c>
      <c r="C190" s="7" t="inlineStr"/>
      <c r="D190" s="7" t="inlineStr">
        <is>
          <t>none</t>
        </is>
      </c>
      <c r="E190" s="7" t="inlineStr"/>
      <c r="F190" s="8" t="inlineStr"/>
      <c r="G190" s="7" t="inlineStr">
        <is>
          <t>numLines=50, AnteBet/static=75</t>
        </is>
      </c>
      <c r="H190" s="7" t="inlineStr">
        <is>
          <t>No</t>
        </is>
      </c>
      <c r="I190" s="7" t="inlineStr">
        <is>
          <t>50</t>
        </is>
      </c>
      <c r="J190" s="8" t="inlineStr">
        <is>
          <t>Coins are scatters. ... Any combination of 1 or more [Sticky Free Games Coin][Bonus Free Games Coin][Extra Free Games Coin] may randomly trigger 8 Free Games.</t>
        </is>
      </c>
      <c r="K190" s="8" t="inlineStr">
        <is>
          <t>none numeric (wild substitutes); bonus collect prizes Mini..Grand</t>
        </is>
      </c>
      <c r="L190" s="8" t="inlineStr"/>
      <c r="M190" s="7" t="inlineStr">
        <is>
          <t>high</t>
        </is>
      </c>
      <c r="N190" s="7" t="inlineStr">
        <is>
          <t>SanFaDragons.docx</t>
        </is>
      </c>
      <c r="O190" s="8" t="inlineStr">
        <is>
          <t>San Fa Dragons family clone. Coins are feature-trigger scatters; bonus prizes via collecting empty coins (Grand 500..Mini 3 at bet 1c). No scatter prize multiplied by bet.</t>
        </is>
      </c>
    </row>
    <row r="191">
      <c r="A191" s="7" t="inlineStr">
        <is>
          <t>SanFaDragons_2</t>
        </is>
      </c>
      <c r="B191" s="7" t="inlineStr">
        <is>
          <t>no</t>
        </is>
      </c>
      <c r="C191" s="7" t="inlineStr"/>
      <c r="D191" s="7" t="inlineStr">
        <is>
          <t>none</t>
        </is>
      </c>
      <c r="E191" s="7" t="inlineStr"/>
      <c r="F191" s="8" t="inlineStr"/>
      <c r="G191" s="7" t="inlineStr">
        <is>
          <t>numLines=50, AnteBet/static=75</t>
        </is>
      </c>
      <c r="H191" s="7" t="inlineStr">
        <is>
          <t>No</t>
        </is>
      </c>
      <c r="I191" s="7" t="inlineStr">
        <is>
          <t>50</t>
        </is>
      </c>
      <c r="J191" s="8" t="inlineStr">
        <is>
          <t>Coins are scatters. ... Any combination of 1 or more [Sticky Free Games Coin][Bonus Free Games Coin][Extra Free Games Coin] may randomly trigger 8 Free Games.</t>
        </is>
      </c>
      <c r="K191" s="8" t="inlineStr">
        <is>
          <t>none numeric (wild substitutes); bonus collect prizes Mini..Grand</t>
        </is>
      </c>
      <c r="L191" s="8" t="inlineStr"/>
      <c r="M191" s="7" t="inlineStr">
        <is>
          <t>high</t>
        </is>
      </c>
      <c r="N191" s="7" t="inlineStr">
        <is>
          <t>SanFaDragons.docx</t>
        </is>
      </c>
      <c r="O191" s="8" t="inlineStr">
        <is>
          <t>San Fa Dragons family clone. Coins are feature-trigger scatters; bonus prizes via collecting empty coins (Grand 500..Mini 3 at bet 1c). No scatter prize multiplied by bet.</t>
        </is>
      </c>
    </row>
    <row r="192">
      <c r="A192" s="7" t="inlineStr">
        <is>
          <t>SanFaMonkeys</t>
        </is>
      </c>
      <c r="B192" s="7" t="inlineStr">
        <is>
          <t>no</t>
        </is>
      </c>
      <c r="C192" s="7" t="inlineStr"/>
      <c r="D192" s="7" t="inlineStr">
        <is>
          <t>none</t>
        </is>
      </c>
      <c r="E192" s="7" t="inlineStr"/>
      <c r="F192" s="8" t="inlineStr"/>
      <c r="G192" s="7" t="inlineStr">
        <is>
          <t>numLines=50, AnteBet/static=75</t>
        </is>
      </c>
      <c r="H192" s="7" t="inlineStr">
        <is>
          <t>No</t>
        </is>
      </c>
      <c r="I192" s="7" t="inlineStr">
        <is>
          <t>50</t>
        </is>
      </c>
      <c r="J192" s="8" t="inlineStr">
        <is>
          <t>Coins are scatters. ... Any combination of 1 or more [Sticky Free Games Coin][Bonus Free Games Coin][Extra Free Games Coin] may randomly trigger 8 Free Games.</t>
        </is>
      </c>
      <c r="K192" s="8" t="inlineStr">
        <is>
          <t>none numeric (wild substitutes); bonus collect prizes Mini..Grand</t>
        </is>
      </c>
      <c r="L192" s="8" t="inlineStr"/>
      <c r="M192" s="7" t="inlineStr">
        <is>
          <t>high</t>
        </is>
      </c>
      <c r="N192" s="7" t="inlineStr">
        <is>
          <t>SanFaMonkeys.docx</t>
        </is>
      </c>
      <c r="O192" s="8" t="inlineStr">
        <is>
          <t>San Fa Dragons family clone. Coins are feature-trigger scatters; bonus prizes via collecting empty coins (Grand 500..Mini 3 at bet 1c). No scatter prize multiplied by bet.</t>
        </is>
      </c>
    </row>
    <row r="193">
      <c r="A193" s="7" t="inlineStr">
        <is>
          <t>SanFaPandas</t>
        </is>
      </c>
      <c r="B193" s="7" t="inlineStr">
        <is>
          <t>no</t>
        </is>
      </c>
      <c r="C193" s="7" t="inlineStr"/>
      <c r="D193" s="7" t="inlineStr">
        <is>
          <t>none</t>
        </is>
      </c>
      <c r="E193" s="7" t="inlineStr"/>
      <c r="F193" s="8" t="inlineStr"/>
      <c r="G193" s="7" t="inlineStr">
        <is>
          <t>numLines=50, AnteBet/static=75</t>
        </is>
      </c>
      <c r="H193" s="7" t="inlineStr">
        <is>
          <t>No</t>
        </is>
      </c>
      <c r="I193" s="7" t="inlineStr">
        <is>
          <t>50</t>
        </is>
      </c>
      <c r="J193" s="8" t="inlineStr">
        <is>
          <t>Coins are scatters. ... Any combination of 1 or more [Sticky Free Games Coin][Bonus Free Games Coin][Extra Free Games Coin] may randomly trigger 8 Free Games.</t>
        </is>
      </c>
      <c r="K193" s="8" t="inlineStr">
        <is>
          <t>none numeric (wild substitutes); bonus collect prizes Mini..Grand</t>
        </is>
      </c>
      <c r="L193" s="8" t="inlineStr"/>
      <c r="M193" s="7" t="inlineStr">
        <is>
          <t>high</t>
        </is>
      </c>
      <c r="N193" s="7" t="inlineStr">
        <is>
          <t>SanFaPanda.docx</t>
        </is>
      </c>
      <c r="O193" s="8" t="inlineStr">
        <is>
          <t>San Fa Dragons family clone. Coins are feature-trigger scatters; bonus prizes via collecting empty coins (Grand 500..Mini 3 at bet 1c). No scatter prize multiplied by bet.</t>
        </is>
      </c>
    </row>
    <row r="194">
      <c r="A194" s="7" t="inlineStr">
        <is>
          <t>SanFaPigs</t>
        </is>
      </c>
      <c r="B194" s="7" t="inlineStr">
        <is>
          <t>no</t>
        </is>
      </c>
      <c r="C194" s="7" t="inlineStr"/>
      <c r="D194" s="7" t="inlineStr">
        <is>
          <t>none</t>
        </is>
      </c>
      <c r="E194" s="7" t="inlineStr"/>
      <c r="F194" s="8" t="inlineStr"/>
      <c r="G194" s="7" t="inlineStr">
        <is>
          <t>numLines=50, AnteBet/static=75</t>
        </is>
      </c>
      <c r="H194" s="7" t="inlineStr">
        <is>
          <t>No</t>
        </is>
      </c>
      <c r="I194" s="7" t="inlineStr">
        <is>
          <t>50</t>
        </is>
      </c>
      <c r="J194" s="8" t="inlineStr">
        <is>
          <t>Coins are scatters. ... Any combination of 1 or more [Sticky Free Games Coin][Bonus Free Games Coin][Extra Free Games Coin] may randomly trigger 8 Free Games.</t>
        </is>
      </c>
      <c r="K194" s="8" t="inlineStr">
        <is>
          <t>none numeric (wild substitutes); bonus collect prizes Mini..Grand</t>
        </is>
      </c>
      <c r="L194" s="8" t="inlineStr"/>
      <c r="M194" s="7" t="inlineStr">
        <is>
          <t>high</t>
        </is>
      </c>
      <c r="N194" s="7" t="inlineStr">
        <is>
          <t>SanFaPigs.docx</t>
        </is>
      </c>
      <c r="O194" s="8" t="inlineStr">
        <is>
          <t>San Fa Dragons family clone. Coins are feature-trigger scatters; bonus prizes via collecting empty coins (Grand 500..Mini 3 at bet 1c). No scatter prize multiplied by bet.</t>
        </is>
      </c>
    </row>
    <row r="195">
      <c r="A195" s="7" t="inlineStr">
        <is>
          <t>SanFaRabbits</t>
        </is>
      </c>
      <c r="B195" s="7" t="inlineStr">
        <is>
          <t>no</t>
        </is>
      </c>
      <c r="C195" s="7" t="inlineStr"/>
      <c r="D195" s="7" t="inlineStr">
        <is>
          <t>none</t>
        </is>
      </c>
      <c r="E195" s="7" t="inlineStr"/>
      <c r="F195" s="8" t="inlineStr"/>
      <c r="G195" s="7" t="inlineStr">
        <is>
          <t>numLines=50, AnteBet/static=75</t>
        </is>
      </c>
      <c r="H195" s="7" t="inlineStr">
        <is>
          <t>No</t>
        </is>
      </c>
      <c r="I195" s="7" t="inlineStr">
        <is>
          <t>50</t>
        </is>
      </c>
      <c r="J195" s="8" t="inlineStr">
        <is>
          <t>Coins are scatters. ... Any combination of 1 or more [Sticky Free Games Coin][Bonus Free Games Coin][Extra Free Games Coin] may randomly trigger 8 Free Games.</t>
        </is>
      </c>
      <c r="K195" s="8" t="inlineStr">
        <is>
          <t>none numeric (wild substitutes); bonus collect prizes Mini..Grand</t>
        </is>
      </c>
      <c r="L195" s="8" t="inlineStr"/>
      <c r="M195" s="7" t="inlineStr">
        <is>
          <t>high</t>
        </is>
      </c>
      <c r="N195" s="7" t="inlineStr">
        <is>
          <t>SanFaRabbits.docx</t>
        </is>
      </c>
      <c r="O195" s="8" t="inlineStr">
        <is>
          <t>San Fa Dragons family clone. Coins are feature-trigger scatters; bonus prizes via collecting empty coins (Grand 500..Mini 3 at bet 1c). No scatter prize multiplied by bet.</t>
        </is>
      </c>
    </row>
    <row r="196">
      <c r="A196" s="7" t="inlineStr">
        <is>
          <t>SanFaTigers</t>
        </is>
      </c>
      <c r="B196" s="7" t="inlineStr">
        <is>
          <t>no</t>
        </is>
      </c>
      <c r="C196" s="7" t="inlineStr"/>
      <c r="D196" s="7" t="inlineStr">
        <is>
          <t>none</t>
        </is>
      </c>
      <c r="E196" s="7" t="inlineStr"/>
      <c r="F196" s="8" t="inlineStr"/>
      <c r="G196" s="7" t="inlineStr">
        <is>
          <t>numLines=50, AnteBet/static=75</t>
        </is>
      </c>
      <c r="H196" s="7" t="inlineStr">
        <is>
          <t>No</t>
        </is>
      </c>
      <c r="I196" s="7" t="inlineStr">
        <is>
          <t>50</t>
        </is>
      </c>
      <c r="J196" s="8" t="inlineStr">
        <is>
          <t>Coins are scatters. ... Any combination of 1 or more [Sticky Free Games Coin][Bonus Free Games Coin][Extra Free Games Coin] may randomly trigger 8 Free Games.</t>
        </is>
      </c>
      <c r="K196" s="8" t="inlineStr">
        <is>
          <t>none numeric (wild substitutes); bonus collect prizes Mini..Grand</t>
        </is>
      </c>
      <c r="L196" s="8" t="inlineStr"/>
      <c r="M196" s="7" t="inlineStr">
        <is>
          <t>high</t>
        </is>
      </c>
      <c r="N196" s="7" t="inlineStr">
        <is>
          <t>SanFaTigers.docx</t>
        </is>
      </c>
      <c r="O196" s="8" t="inlineStr">
        <is>
          <t>San Fa Dragons family clone. Coins are feature-trigger scatters; bonus prizes via collecting empty coins (Grand 500..Mini 3 at bet 1c). No scatter prize multiplied by bet.</t>
        </is>
      </c>
    </row>
    <row r="197">
      <c r="A197" s="7" t="inlineStr">
        <is>
          <t>Sheer Magic</t>
        </is>
      </c>
      <c r="B197" s="7" t="inlineStr">
        <is>
          <t>no</t>
        </is>
      </c>
      <c r="C197" s="7" t="inlineStr"/>
      <c r="D197" s="7" t="inlineStr">
        <is>
          <t>none</t>
        </is>
      </c>
      <c r="E197" s="7" t="inlineStr"/>
      <c r="F197" s="8" t="inlineStr"/>
      <c r="G197" s="7" t="inlineStr">
        <is>
          <t>numLines=1..30</t>
        </is>
      </c>
      <c r="H197" s="7" t="inlineStr">
        <is>
          <t>No</t>
        </is>
      </c>
      <c r="I197" s="7" t="inlineStr">
        <is>
          <t>30</t>
        </is>
      </c>
      <c r="J197" s="8" t="inlineStr">
        <is>
          <t>'Magic Coin' is a scatter. ... 10 free games are triggered by any 3 or more scattered 'Magic Coin'.</t>
        </is>
      </c>
      <c r="K197" s="8" t="inlineStr">
        <is>
          <t>none numeric (Crystal Ball/Hands substitute; Respin feature)</t>
        </is>
      </c>
      <c r="L197" s="8" t="inlineStr"/>
      <c r="M197" s="7" t="inlineStr">
        <is>
          <t>high</t>
        </is>
      </c>
      <c r="N197" s="7" t="inlineStr">
        <is>
          <t>Sheer Magic AGT_RGS_Rev C pf1.doc</t>
        </is>
      </c>
      <c r="O197" s="8" t="inlineStr">
        <is>
          <t>Magic Coin scatter pays via paytable and triggers free games; no bet-multiplied scatter prize.</t>
        </is>
      </c>
    </row>
    <row r="198">
      <c r="A198" s="7" t="inlineStr">
        <is>
          <t>SmileyPigs SplashinWealth_ULD</t>
        </is>
      </c>
      <c r="B198" s="7" t="inlineStr">
        <is>
          <t>yes</t>
        </is>
      </c>
      <c r="C198" s="7" t="inlineStr">
        <is>
          <t>PRIZES (CASH WEALTH prize symbols); PremiumPay/Bonus/Cash/Wild Wealth Coins trigger features</t>
        </is>
      </c>
      <c r="D198" s="7" t="inlineStr">
        <is>
          <t>static_multiplier</t>
        </is>
      </c>
      <c r="E198" s="11" t="inlineStr">
        <is>
          <t>LineBetFromStaticMultiplier</t>
        </is>
      </c>
      <c r="F198" s="8" t="inlineStr">
        <is>
          <t>random prize 1..75 x 20 x bet per line; numLines=20, static=30 -&gt; total_bet*20/30</t>
        </is>
      </c>
      <c r="G198" s="7" t="inlineStr">
        <is>
          <t>numLines=20, static=30</t>
        </is>
      </c>
      <c r="H198" s="7" t="inlineStr">
        <is>
          <t>No</t>
        </is>
      </c>
      <c r="I198" s="7" t="inlineStr">
        <is>
          <t>20</t>
        </is>
      </c>
      <c r="J198" s="8" t="inlineStr">
        <is>
          <t>PRIZES are scatters and CASH WEALTH symbols which award random prizes of 1, 2, 3, 5, 8, 10, 25, 50 or 75 multiplied by 20 times of the bet per line value and only be available for those feature games which are associated with CASH WEALTH feature. ... All available bet options are multiplied by static multiplier '30'.</t>
        </is>
      </c>
      <c r="K198" s="8" t="inlineStr">
        <is>
          <t>WILD WEALTH: Green Apple WILD x2/x3/x5 additive multiplier on winning line</t>
        </is>
      </c>
      <c r="L198" s="8" t="inlineStr">
        <is>
          <t>multiplies the line win (win-based)</t>
        </is>
      </c>
      <c r="M198" s="7" t="inlineStr">
        <is>
          <t>high</t>
        </is>
      </c>
      <c r="N198" s="7" t="inlineStr">
        <is>
          <t>SmileyPigsSplashinWealth_RevA.doc</t>
        </is>
      </c>
      <c r="O198" s="8" t="inlineStr">
        <is>
          <t>Clone of HighHits MegaLoot. Prize appears only in CASH WEALTH feature; explicitly bet-per-line based (x20) with static multiplier 30 and 20 lines.</t>
        </is>
      </c>
    </row>
    <row r="199">
      <c r="A199" s="7" t="inlineStr">
        <is>
          <t>Snake Spirit Gold</t>
        </is>
      </c>
      <c r="B199" s="7" t="inlineStr">
        <is>
          <t>yes</t>
        </is>
      </c>
      <c r="C199" s="7" t="inlineStr">
        <is>
          <t>Pearl (Pearl Prize); Prosperity triggers free games</t>
        </is>
      </c>
      <c r="D199" s="7" t="inlineStr">
        <is>
          <t>total_bet</t>
        </is>
      </c>
      <c r="E199" s="10" t="inlineStr">
        <is>
          <t>TotalBet</t>
        </is>
      </c>
      <c r="F199" s="8" t="inlineStr">
        <is>
          <t>Pearl Prize (1,2,3,5,10,25,50) x total credits bet</t>
        </is>
      </c>
      <c r="G199" s="7" t="inlineStr">
        <is>
          <t>numLines=50</t>
        </is>
      </c>
      <c r="H199" s="7" t="inlineStr">
        <is>
          <t>No</t>
        </is>
      </c>
      <c r="I199" s="7" t="inlineStr">
        <is>
          <t>50</t>
        </is>
      </c>
      <c r="J199" s="8" t="inlineStr">
        <is>
          <t>'Pearl' always appears on screen with a random Pearl Prize of 1, 2, 3, 5, 10, 25 or 50 multiplied by total credits bet as displayed. ... Scatter wins are multiplied by the total credits bet.</t>
        </is>
      </c>
      <c r="K199" s="8" t="inlineStr">
        <is>
          <t>none numeric (Gold Snake wild substitutes)</t>
        </is>
      </c>
      <c r="L199" s="8" t="inlineStr"/>
      <c r="M199" s="7" t="inlineStr">
        <is>
          <t>high</t>
        </is>
      </c>
      <c r="N199" s="7" t="inlineStr">
        <is>
          <t>SnakeSpiritGold.doc</t>
        </is>
      </c>
      <c r="O199" s="8" t="inlineStr">
        <is>
          <t>Pearl prize base is clearly total credits bet.</t>
        </is>
      </c>
    </row>
    <row r="200">
      <c r="A200" s="7" t="inlineStr">
        <is>
          <t>SnowKingdom</t>
        </is>
      </c>
      <c r="B200" s="7" t="inlineStr">
        <is>
          <t>yes</t>
        </is>
      </c>
      <c r="C200" s="7" t="inlineStr">
        <is>
          <t>Golden Orb, Grand Orb, Major Orb, Minor Orb, Mini Orb; [Scatter] triggers free games</t>
        </is>
      </c>
      <c r="D200" s="7" t="inlineStr">
        <is>
          <t>total_bet</t>
        </is>
      </c>
      <c r="E200" s="10" t="inlineStr">
        <is>
          <t>TotalBet</t>
        </is>
      </c>
      <c r="F200" s="8" t="inlineStr">
        <is>
          <t>Orb prize 1..100 x total bet</t>
        </is>
      </c>
      <c r="G200" s="7" t="inlineStr">
        <is>
          <t>numLines=25-100</t>
        </is>
      </c>
      <c r="H200" s="7" t="inlineStr">
        <is>
          <t>No</t>
        </is>
      </c>
      <c r="I200" s="7" t="inlineStr">
        <is>
          <t>1</t>
        </is>
      </c>
      <c r="J200" s="8" t="inlineStr">
        <is>
          <t>[Golden Orb],[Grand Orb],[Major Orb],[Minor Orb] and [Mini Orb] symbols always appear on screen with a random Prize of 1,2,3,4,5,10,15,20,50 and 100 multiplied by total bet as displayed.</t>
        </is>
      </c>
      <c r="K200" s="8" t="inlineStr">
        <is>
          <t>none numeric (Golden Spins Upgrade modifier upgrades prize levels)</t>
        </is>
      </c>
      <c r="L200" s="8" t="inlineStr"/>
      <c r="M200" s="7" t="inlineStr">
        <is>
          <t>high</t>
        </is>
      </c>
      <c r="N200" s="7" t="inlineStr">
        <is>
          <t>SnowKingdom.doc</t>
        </is>
      </c>
      <c r="O200" s="8" t="inlineStr">
        <is>
          <t>Orb prize base is total bet.</t>
        </is>
      </c>
    </row>
    <row r="201">
      <c r="A201" s="7" t="inlineStr">
        <is>
          <t>Soul Queen (Quad Shot)</t>
        </is>
      </c>
      <c r="B201" s="7" t="inlineStr">
        <is>
          <t>no</t>
        </is>
      </c>
      <c r="C201" s="7" t="inlineStr"/>
      <c r="D201" s="7" t="inlineStr">
        <is>
          <t>none</t>
        </is>
      </c>
      <c r="E201" s="7" t="inlineStr"/>
      <c r="F201" s="8" t="inlineStr"/>
      <c r="G201" s="7" t="inlineStr">
        <is>
          <t>numLines=1..30</t>
        </is>
      </c>
      <c r="H201" s="7" t="inlineStr">
        <is>
          <t>No</t>
        </is>
      </c>
      <c r="I201" s="7" t="inlineStr">
        <is>
          <t>30</t>
        </is>
      </c>
      <c r="J201" s="8" t="inlineStr">
        <is>
          <t>'Soul Queen' is a scatter. ... if one or more 'Wild Queen' substitutes in a win the pay for that win is multiplied by the 'Wild Queen' multiplier except scatter wins as displayed on the wild queen multipliers table.</t>
        </is>
      </c>
      <c r="K201" s="8" t="inlineStr">
        <is>
          <t>Wild Queen multiplier (per Wild Queen Multipliers Table) when Wild Queen substitutes in a win</t>
        </is>
      </c>
      <c r="L201" s="8" t="inlineStr">
        <is>
          <t>multiplies the line win (win-based)</t>
        </is>
      </c>
      <c r="M201" s="7" t="inlineStr">
        <is>
          <t>high</t>
        </is>
      </c>
      <c r="N201" s="7" t="inlineStr">
        <is>
          <t>Soul Queen Tech Spec  A560 INT Epf6.doc</t>
        </is>
      </c>
      <c r="O201" s="8" t="inlineStr">
        <is>
          <t>Source is a Tech Spec doc. Soul Queen scatter triggers the Soul Feature and pays via paytable; no bet-multiplied scatter prize. Wild Queen multiplier is win-based.</t>
        </is>
      </c>
    </row>
    <row r="202">
      <c r="A202" s="7" t="inlineStr">
        <is>
          <t>SoulQueenEnergized</t>
        </is>
      </c>
      <c r="B202" s="7" t="inlineStr">
        <is>
          <t>no</t>
        </is>
      </c>
      <c r="C202" s="7" t="inlineStr"/>
      <c r="D202" s="7" t="inlineStr">
        <is>
          <t>none</t>
        </is>
      </c>
      <c r="E202" s="7" t="inlineStr"/>
      <c r="F202" s="8" t="inlineStr"/>
      <c r="G202" s="7" t="inlineStr">
        <is>
          <t>numLines=1..30</t>
        </is>
      </c>
      <c r="H202" s="7" t="inlineStr">
        <is>
          <t>No</t>
        </is>
      </c>
      <c r="I202" s="7" t="inlineStr">
        <is>
          <t>30</t>
        </is>
      </c>
      <c r="J202" s="8" t="inlineStr">
        <is>
          <t>'Soul Queen' is a scatter. ... During the Soul Feature, if one or more 'Wild Queen' substitutes in a win the pay for that win is multiplied by the Wild Queen multiplier except scatter wins as displayed on the Wild Queen Multipliers Table.</t>
        </is>
      </c>
      <c r="K202" s="8" t="inlineStr">
        <is>
          <t>Wild Queen multiplier (per Wild Queen Multipliers Table) when Wild Queen substitutes in a win</t>
        </is>
      </c>
      <c r="L202" s="8" t="inlineStr">
        <is>
          <t>multiplies the line win (win-based)</t>
        </is>
      </c>
      <c r="M202" s="7" t="inlineStr">
        <is>
          <t>high</t>
        </is>
      </c>
      <c r="N202" s="7" t="inlineStr">
        <is>
          <t>SoulQueenEnergized.doc</t>
        </is>
      </c>
      <c r="O202" s="8" t="inlineStr">
        <is>
          <t>Soul Queen scatter triggers the Soul Feature and pays via paytable; no bet-multiplied scatter prize. Wild Queen multiplier is win-based.</t>
        </is>
      </c>
    </row>
    <row r="203">
      <c r="A203" s="7" t="inlineStr">
        <is>
          <t>South of The Border Loaded with Loot</t>
        </is>
      </c>
      <c r="B203" s="7" t="inlineStr">
        <is>
          <t>yes</t>
        </is>
      </c>
      <c r="C203" s="7" t="inlineStr">
        <is>
          <t>Gold Sun, Orange Sun ('Sun' Prizes); Moon triggers feature</t>
        </is>
      </c>
      <c r="D203" s="7" t="inlineStr">
        <is>
          <t>total_bet</t>
        </is>
      </c>
      <c r="E203" s="10" t="inlineStr">
        <is>
          <t>TotalBet</t>
        </is>
      </c>
      <c r="F203" s="8" t="inlineStr">
        <is>
          <t>Sun Prize 1..200 x total credits bet</t>
        </is>
      </c>
      <c r="G203" s="7" t="inlineStr">
        <is>
          <t>numLines=25</t>
        </is>
      </c>
      <c r="H203" s="7" t="inlineStr">
        <is>
          <t>No</t>
        </is>
      </c>
      <c r="I203" s="7" t="inlineStr">
        <is>
          <t>25</t>
        </is>
      </c>
      <c r="J203" s="8" t="inlineStr">
        <is>
          <t>'Gold Sun' and 'Orange Sun' always appear on screen with a random 'Sun' Prize of 200, 100, 50, 25, 15, 10, 5, 4, 3, 2 or 1 multiplied by total credits bet, Major Bonus, Minor Bonus or Mini Bonus as displayed.</t>
        </is>
      </c>
      <c r="K203" s="8" t="inlineStr">
        <is>
          <t>none numeric</t>
        </is>
      </c>
      <c r="L203" s="8" t="inlineStr"/>
      <c r="M203" s="7" t="inlineStr">
        <is>
          <t>high</t>
        </is>
      </c>
      <c r="N203" s="7" t="inlineStr">
        <is>
          <t>South of the Border_AGT_RGS_RevC.doc</t>
        </is>
      </c>
      <c r="O203" s="8" t="inlineStr">
        <is>
          <t>Doc contains both templated (AGT_STR placeholders) and resolved rule text; resolved 'Sun' Prize (Gold/Orange Sun) x total credits bet used.</t>
        </is>
      </c>
    </row>
    <row r="204">
      <c r="A204" s="7" t="inlineStr">
        <is>
          <t>Splashin Pigs</t>
        </is>
      </c>
      <c r="B204" s="7" t="inlineStr">
        <is>
          <t>yes</t>
        </is>
      </c>
      <c r="C204" s="7" t="inlineStr">
        <is>
          <t>MUD 'INSTANT PRIZES' prize symbol (in Muddy Prize feature); 'Wolf' triggers feature</t>
        </is>
      </c>
      <c r="D204" s="7" t="inlineStr">
        <is>
          <t>total_bet</t>
        </is>
      </c>
      <c r="E204" s="10" t="inlineStr">
        <is>
          <t>TotalBet</t>
        </is>
      </c>
      <c r="F204" s="8" t="inlineStr">
        <is>
          <t>random Prize 1..100 x total bet</t>
        </is>
      </c>
      <c r="G204" s="7" t="inlineStr">
        <is>
          <t>numLines=50, AnteBet/static=75</t>
        </is>
      </c>
      <c r="H204" s="7" t="inlineStr">
        <is>
          <t>No</t>
        </is>
      </c>
      <c r="I204" s="7" t="inlineStr">
        <is>
          <t>50</t>
        </is>
      </c>
      <c r="J204" s="8" t="inlineStr">
        <is>
          <t>When pig with 'INSTANT PRIZES' is freed, more 'MUD' with random Prize of 1, 2, 3, 5, 10, 25, 50 or 100 multiplied by total bet, will be splashed in the 'MUDDY PRIZE FEATURE'.</t>
        </is>
      </c>
      <c r="K204" s="8" t="inlineStr">
        <is>
          <t>WILDX2/WILDX3/WILDX5 multiply the line win</t>
        </is>
      </c>
      <c r="L204" s="8" t="inlineStr">
        <is>
          <t>multiplies the line win (win-based)</t>
        </is>
      </c>
      <c r="M204" s="7" t="inlineStr">
        <is>
          <t>high</t>
        </is>
      </c>
      <c r="N204" s="7" t="inlineStr">
        <is>
          <t>SplashinPigs.doc</t>
        </is>
      </c>
      <c r="O204" s="8" t="inlineStr">
        <is>
          <t>Prize explicitly x total bet (despite static multiplier 75 present). Prizes appear only in the Muddy Prize feature.</t>
        </is>
      </c>
    </row>
    <row r="205">
      <c r="A205" s="7" t="inlineStr">
        <is>
          <t>SplashinPigsUltimate</t>
        </is>
      </c>
      <c r="B205" s="7" t="inlineStr">
        <is>
          <t>yes</t>
        </is>
      </c>
      <c r="C205" s="7" t="inlineStr">
        <is>
          <t>'PRIZE' MUD symbol (in Muddy Prize feature); 'Wolf' triggers feature</t>
        </is>
      </c>
      <c r="D205" s="7" t="inlineStr">
        <is>
          <t>static_multiplier</t>
        </is>
      </c>
      <c r="E205" s="11" t="inlineStr">
        <is>
          <t>LineBetFromStaticMultiplier</t>
        </is>
      </c>
      <c r="F205" s="8" t="inlineStr">
        <is>
          <t>random Prize 1..75 x 50 x bet per line; numLines=50, static=75 -&gt; total_bet*50/75</t>
        </is>
      </c>
      <c r="G205" s="7" t="inlineStr">
        <is>
          <t>numLines=50, static=75</t>
        </is>
      </c>
      <c r="H205" s="7" t="inlineStr">
        <is>
          <t>No</t>
        </is>
      </c>
      <c r="I205" s="7" t="inlineStr">
        <is>
          <t>50</t>
        </is>
      </c>
      <c r="J205" s="8" t="inlineStr">
        <is>
          <t>When pig with 'INSTANT PRIZES' is freed, more 'PRIZE' with random Prize of 1, 2, 3, 5, 8, 10, 25, 50 or 75 multiplied by 50 times of the bet per line value, will be splashed in the 'MUDDY PRIZE FEATURE'. ... All available bet options are multiplied by static multiplier '75'.</t>
        </is>
      </c>
      <c r="K205" s="8" t="inlineStr">
        <is>
          <t>X2 WILD/X3 WILD/X5 WILD multiply the line win</t>
        </is>
      </c>
      <c r="L205" s="8" t="inlineStr">
        <is>
          <t>multiplies the line win (win-based)</t>
        </is>
      </c>
      <c r="M205" s="7" t="inlineStr">
        <is>
          <t>high</t>
        </is>
      </c>
      <c r="N205" s="7" t="inlineStr">
        <is>
          <t>SplashinPigsUltimate_RevA.doc</t>
        </is>
      </c>
      <c r="O205" s="8" t="inlineStr">
        <is>
          <t>Prize explicitly bet-per-line based (x50) with static multiplier 75 and 50 lines; ratio total_bet*50/75.</t>
        </is>
      </c>
    </row>
    <row r="206">
      <c r="A206" s="7" t="inlineStr">
        <is>
          <t>StarsUp</t>
        </is>
      </c>
      <c r="B206" s="7" t="inlineStr">
        <is>
          <t>yes</t>
        </is>
      </c>
      <c r="C206" s="7" t="inlineStr">
        <is>
          <t>Golden Orb, Grand Orb, Major Orb, Minor Orb, Mini Orb; Star1/Star2/Star3 scatters</t>
        </is>
      </c>
      <c r="D206" s="7" t="inlineStr">
        <is>
          <t>total_bet</t>
        </is>
      </c>
      <c r="E206" s="10" t="inlineStr">
        <is>
          <t>TotalBet</t>
        </is>
      </c>
      <c r="F206" s="8" t="inlineStr">
        <is>
          <t>Orb prize 1..100 x total bet</t>
        </is>
      </c>
      <c r="G206" s="7" t="inlineStr">
        <is>
          <t>numLines=25-100</t>
        </is>
      </c>
      <c r="H206" s="7" t="inlineStr">
        <is>
          <t>No</t>
        </is>
      </c>
      <c r="I206" s="7" t="inlineStr">
        <is>
          <t>1</t>
        </is>
      </c>
      <c r="J206" s="8" t="inlineStr">
        <is>
          <t>[Golden Orb],[Grand Orb],[Major Orb],[Minor Orb] and [Mini Orb] symbols always appear on screen with a random Prize of 1,2,3,4,5,10,15,20,50 and 100 multiplied by total bet as displayed.</t>
        </is>
      </c>
      <c r="K206" s="8" t="inlineStr">
        <is>
          <t>none numeric (Golden Spins Upgrade modifier upgrades prize levels)</t>
        </is>
      </c>
      <c r="L206" s="8" t="inlineStr"/>
      <c r="M206" s="7" t="inlineStr">
        <is>
          <t>high</t>
        </is>
      </c>
      <c r="N206" s="7" t="inlineStr">
        <is>
          <t>StarsUp.doc</t>
        </is>
      </c>
      <c r="O206" s="8" t="inlineStr">
        <is>
          <t>Orb prize base is total bet; Star symbols only add win lines.</t>
        </is>
      </c>
    </row>
    <row r="207">
      <c r="A207" s="7" t="inlineStr">
        <is>
          <t>Stones Of Fortune_ULJ</t>
        </is>
      </c>
      <c r="B207" s="7" t="inlineStr">
        <is>
          <t>yes</t>
        </is>
      </c>
      <c r="C207" s="7" t="inlineStr">
        <is>
          <t>COINS (INSTANT PRIZE symbols, in feature); PREMIUM PAY/BONUS/INSTANT PRIZE/WILD MULTIPLIER coins trigger features</t>
        </is>
      </c>
      <c r="D207" s="7" t="inlineStr">
        <is>
          <t>static_multiplier</t>
        </is>
      </c>
      <c r="E207" s="11" t="inlineStr">
        <is>
          <t>LineBetFromStaticMultiplier</t>
        </is>
      </c>
      <c r="F207" s="8" t="inlineStr">
        <is>
          <t>random prize 1..75 x 20 x bet per line; numLines=20, static=30 -&gt; total_bet*20/30</t>
        </is>
      </c>
      <c r="G207" s="7" t="inlineStr">
        <is>
          <t>numLines=20, static=30</t>
        </is>
      </c>
      <c r="H207" s="7" t="inlineStr">
        <is>
          <t>No</t>
        </is>
      </c>
      <c r="I207" s="7" t="inlineStr">
        <is>
          <t>20</t>
        </is>
      </c>
      <c r="J207" s="8" t="inlineStr">
        <is>
          <t>COINS are scatters and INSTANT PRIZE symbols, which award random prizes of 1, 2, 3, 5, 8, 10, 25, 50 or 75 multiplied by 20 times of the bet per line value and only be available for those feature games which are associated with INSTANT PRIZE feature. ... All available bet options are multiplied by static multiplier '30'.</t>
        </is>
      </c>
      <c r="K207" s="8" t="inlineStr">
        <is>
          <t>Robin Hood WILD x2/x3/x5 (WILD MULTIPLIER) additive multiplier on winning line</t>
        </is>
      </c>
      <c r="L207" s="8" t="inlineStr">
        <is>
          <t>multiplies the line win (win-based)</t>
        </is>
      </c>
      <c r="M207" s="7" t="inlineStr">
        <is>
          <t>high</t>
        </is>
      </c>
      <c r="N207" s="7" t="inlineStr">
        <is>
          <t>StonesOfFortune_RevA.doc</t>
        </is>
      </c>
      <c r="O207" s="8" t="inlineStr">
        <is>
          <t>Coins prize explicitly bet-per-line based (x20) with static multiplier 30 and 20 lines; ratio total_bet*20/30.</t>
        </is>
      </c>
    </row>
    <row r="208">
      <c r="A208" s="7" t="inlineStr">
        <is>
          <t>Stormin 7's Stacks</t>
        </is>
      </c>
      <c r="B208" s="7" t="inlineStr">
        <is>
          <t>no</t>
        </is>
      </c>
      <c r="C208" s="7" t="inlineStr"/>
      <c r="D208" s="7" t="inlineStr">
        <is>
          <t>none</t>
        </is>
      </c>
      <c r="E208" s="7" t="inlineStr"/>
      <c r="F208" s="8" t="inlineStr"/>
      <c r="G208" s="7" t="inlineStr">
        <is>
          <t>numLines=50 or 100</t>
        </is>
      </c>
      <c r="H208" s="7" t="inlineStr">
        <is>
          <t>No</t>
        </is>
      </c>
      <c r="I208" s="7" t="inlineStr">
        <is>
          <t>100</t>
        </is>
      </c>
      <c r="J208" s="8" t="inlineStr">
        <is>
          <t>'Diamond' is a scatter. ... Scatters pay in any position. ... Free Games Feature: 10 free games are triggered by any 3 or more scattered 'Diamond'.</t>
        </is>
      </c>
      <c r="K208" s="8" t="inlineStr">
        <is>
          <t>Wild x2/x3/x4/x5 (Wild Multipliers) in Respin/Choice features</t>
        </is>
      </c>
      <c r="L208" s="8" t="inlineStr">
        <is>
          <t>multiplies the prize for the winning combination the wild substitutes in (win-based); two wilds multiply by the product</t>
        </is>
      </c>
      <c r="M208" s="7" t="inlineStr">
        <is>
          <t>high</t>
        </is>
      </c>
      <c r="N208" s="7" t="inlineStr">
        <is>
          <t>Stormin 7's Stacks AGT_RGS_Rev B.doc</t>
        </is>
      </c>
      <c r="O208" s="8" t="inlineStr">
        <is>
          <t>Diamond scatter only triggers free games and pays via paytable (no bet-multiplied prize). Multipliers are wild-substitution multipliers on line/combination wins.</t>
        </is>
      </c>
    </row>
    <row r="209">
      <c r="A209" s="7" t="inlineStr">
        <is>
          <t>Stormin 7's</t>
        </is>
      </c>
      <c r="B209" s="7" t="inlineStr">
        <is>
          <t>no</t>
        </is>
      </c>
      <c r="C209" s="7" t="inlineStr"/>
      <c r="D209" s="7" t="inlineStr">
        <is>
          <t>none</t>
        </is>
      </c>
      <c r="E209" s="7" t="inlineStr"/>
      <c r="F209" s="8" t="inlineStr"/>
      <c r="G209" s="7" t="inlineStr">
        <is>
          <t>numLines=1..100</t>
        </is>
      </c>
      <c r="H209" s="7" t="inlineStr">
        <is>
          <t>No</t>
        </is>
      </c>
      <c r="I209" s="7" t="inlineStr">
        <is>
          <t>100</t>
        </is>
      </c>
      <c r="J209" s="8" t="inlineStr">
        <is>
          <t>'Diamond' is a scatter. ... 10 free games are triggered by any 3 or more scattered 'Diamond'.</t>
        </is>
      </c>
      <c r="K209" s="8" t="inlineStr">
        <is>
          <t>Stormin x2 / Stormin x3 wild multipliers in Respin Feature</t>
        </is>
      </c>
      <c r="L209" s="8" t="inlineStr">
        <is>
          <t>when Stormin x2/x3 substitutes in a winning combination the prize for that win is multiplied by 2/3 (both = x6); win-based</t>
        </is>
      </c>
      <c r="M209" s="7" t="inlineStr">
        <is>
          <t>high</t>
        </is>
      </c>
      <c r="N209" s="7" t="inlineStr">
        <is>
          <t>Stormin 7's AGT_RGS_Rev C.doc</t>
        </is>
      </c>
      <c r="O209" s="8" t="inlineStr">
        <is>
          <t>Diamond scatter triggers free games and pays via paytable. Dollar acts as scatter in feature paying paytable value. No bet-multiplied scatter prize.</t>
        </is>
      </c>
    </row>
    <row r="210">
      <c r="A210" s="7" t="inlineStr">
        <is>
          <t>Stormin7sEnergized</t>
        </is>
      </c>
      <c r="B210" s="7" t="inlineStr">
        <is>
          <t>no</t>
        </is>
      </c>
      <c r="C210" s="7" t="inlineStr"/>
      <c r="D210" s="7" t="inlineStr">
        <is>
          <t>none</t>
        </is>
      </c>
      <c r="E210" s="7" t="inlineStr"/>
      <c r="F210" s="8" t="inlineStr"/>
      <c r="G210" s="7" t="inlineStr">
        <is>
          <t>numLines=1..100</t>
        </is>
      </c>
      <c r="H210" s="7" t="inlineStr">
        <is>
          <t>No</t>
        </is>
      </c>
      <c r="I210" s="7" t="inlineStr">
        <is>
          <t>100</t>
        </is>
      </c>
      <c r="J210" s="8" t="inlineStr">
        <is>
          <t>'Diamond' is a scatter. ... 10 free games are triggered by any 3 or more scattered 'Diamond'.</t>
        </is>
      </c>
      <c r="K210" s="8" t="inlineStr">
        <is>
          <t>Stormin x2 / Stormin x3 wild multipliers in Respin Feature</t>
        </is>
      </c>
      <c r="L210" s="8" t="inlineStr">
        <is>
          <t>Stormin x2/x3 substituting multiplies the prize for that win by 2/3 (both = x6); win-based</t>
        </is>
      </c>
      <c r="M210" s="7" t="inlineStr">
        <is>
          <t>high</t>
        </is>
      </c>
      <c r="N210" s="7" t="inlineStr">
        <is>
          <t>Stormin7sEnergized.doc</t>
        </is>
      </c>
      <c r="O210" s="8" t="inlineStr">
        <is>
          <t>Clone of Stormin7s. Diamond scatter pays via paytable, triggers free games. No bet-multiplied scatter prize.</t>
        </is>
      </c>
    </row>
    <row r="211">
      <c r="A211" s="7" t="inlineStr">
        <is>
          <t>Sugar n Spice Hummin'</t>
        </is>
      </c>
      <c r="B211" s="7" t="inlineStr">
        <is>
          <t>no</t>
        </is>
      </c>
      <c r="C211" s="7" t="inlineStr"/>
      <c r="D211" s="7" t="inlineStr">
        <is>
          <t>none</t>
        </is>
      </c>
      <c r="E211" s="7" t="inlineStr"/>
      <c r="F211" s="8" t="inlineStr"/>
      <c r="G211" s="7" t="inlineStr">
        <is>
          <t>numLines=1..30</t>
        </is>
      </c>
      <c r="H211" s="7" t="inlineStr">
        <is>
          <t>No</t>
        </is>
      </c>
      <c r="I211" s="7" t="inlineStr">
        <is>
          <t>10</t>
        </is>
      </c>
      <c r="J211" s="8" t="inlineStr">
        <is>
          <t>'Volcano' is a scatter. ... The Free Games Feature is triggered by any 3 or more scattered 'Volcano'.</t>
        </is>
      </c>
      <c r="K211" s="8" t="inlineStr">
        <is>
          <t>none</t>
        </is>
      </c>
      <c r="L211" s="8" t="inlineStr"/>
      <c r="M211" s="7" t="inlineStr">
        <is>
          <t>high</t>
        </is>
      </c>
      <c r="N211" s="7" t="inlineStr">
        <is>
          <t>Sugar n Spice Hummin' AGT_RGS_Rev D pf1.doc</t>
        </is>
      </c>
      <c r="O211" s="8" t="inlineStr">
        <is>
          <t>Volcano scatter triggers free games and pays via paytable. Flower reel feature has no multiplier. No multiplier symbols at all.</t>
        </is>
      </c>
    </row>
    <row r="212">
      <c r="A212" s="7" t="inlineStr">
        <is>
          <t>SugarFrenzyCherryWheel</t>
        </is>
      </c>
      <c r="B212" s="7" t="inlineStr">
        <is>
          <t>no</t>
        </is>
      </c>
      <c r="C212" s="7" t="inlineStr"/>
      <c r="D212" s="7" t="inlineStr">
        <is>
          <t>none</t>
        </is>
      </c>
      <c r="E212" s="7" t="inlineStr"/>
      <c r="F212" s="8" t="inlineStr"/>
      <c r="G212" s="7" t="inlineStr">
        <is>
          <t>numLines=50</t>
        </is>
      </c>
      <c r="H212" s="7" t="inlineStr">
        <is>
          <t>No</t>
        </is>
      </c>
      <c r="I212" s="7" t="inlineStr">
        <is>
          <t>50</t>
        </is>
      </c>
      <c r="J212" s="8" t="inlineStr">
        <is>
          <t>'SUGAR FRENZY' is a scatter. ... Sugar FRENZY feature is triggered by any 3 scattered 'SUGAR FRENZY'. ... During free games, Coin 1, Coin 2, Coin 3, Coin 4 and Coin 5 are scatters.</t>
        </is>
      </c>
      <c r="K212" s="8" t="inlineStr">
        <is>
          <t>none (Cherry On Top wheel and Bonus Wheel award fixed prizes MEGA/MAXI/MINOR/MINI)</t>
        </is>
      </c>
      <c r="L212" s="8" t="inlineStr"/>
      <c r="M212" s="7" t="inlineStr">
        <is>
          <t>high</t>
        </is>
      </c>
      <c r="N212" s="7" t="inlineStr">
        <is>
          <t>SugarFrenzyCherryWheel_AGT_RevA.doc</t>
        </is>
      </c>
      <c r="O212" s="8" t="inlineStr">
        <is>
          <t>Clone of Mustang Money. Coin1-5 are scatters in free games paying fixed feature-paytable values (not bet-multiplied). Bonus wheel prizes are fixed bonus levels. No multiplier symbol.</t>
        </is>
      </c>
    </row>
    <row r="213">
      <c r="A213" s="7" t="inlineStr">
        <is>
          <t>Sun Chief</t>
        </is>
      </c>
      <c r="B213" s="7" t="inlineStr">
        <is>
          <t>no</t>
        </is>
      </c>
      <c r="C213" s="7" t="inlineStr"/>
      <c r="D213" s="7" t="inlineStr">
        <is>
          <t>none</t>
        </is>
      </c>
      <c r="E213" s="7" t="inlineStr"/>
      <c r="F213" s="8" t="inlineStr"/>
      <c r="G213" s="7" t="inlineStr">
        <is>
          <t>numLines=30</t>
        </is>
      </c>
      <c r="H213" s="7" t="inlineStr">
        <is>
          <t>No</t>
        </is>
      </c>
      <c r="I213" s="7" t="inlineStr">
        <is>
          <t>30</t>
        </is>
      </c>
      <c r="J213" s="8" t="inlineStr">
        <is>
          <t>'Sun Stone' is a scatter. ... 8 free games are triggered by any 3 or more scattered 'Sun Stone'.</t>
        </is>
      </c>
      <c r="K213" s="8" t="inlineStr">
        <is>
          <t>'Shield' multiplier x2/x3/x4/x5 in Free Games Feature</t>
        </is>
      </c>
      <c r="L213" s="8" t="inlineStr">
        <is>
          <t>All prizes for winning combinations with 'Shield' multiplier substituting are multiplied by the 'Shield' multiplier as displayed (win-based)</t>
        </is>
      </c>
      <c r="M213" s="7" t="inlineStr">
        <is>
          <t>high</t>
        </is>
      </c>
      <c r="N213" s="7" t="inlineStr">
        <is>
          <t>Sun Chief NON- SAP A560 Cpf1.doc</t>
        </is>
      </c>
      <c r="O213" s="8" t="inlineStr">
        <is>
          <t>Sun Stone scatter triggers free games and pays via paytable. Shield is a wild-substitution multiplier applied to line-win prizes, not bet-derived.</t>
        </is>
      </c>
    </row>
    <row r="214">
      <c r="A214" s="7" t="inlineStr">
        <is>
          <t>Super Charged 7s Original</t>
        </is>
      </c>
      <c r="B214" s="7" t="inlineStr">
        <is>
          <t>no</t>
        </is>
      </c>
      <c r="C214" s="7" t="inlineStr"/>
      <c r="D214" s="7" t="inlineStr">
        <is>
          <t>none</t>
        </is>
      </c>
      <c r="E214" s="7" t="inlineStr"/>
      <c r="F214" s="8" t="inlineStr"/>
      <c r="G214" s="7" t="inlineStr">
        <is>
          <t>numLines=40</t>
        </is>
      </c>
      <c r="H214" s="7" t="inlineStr">
        <is>
          <t>No</t>
        </is>
      </c>
      <c r="I214" s="7" t="inlineStr">
        <is>
          <t>40</t>
        </is>
      </c>
      <c r="J214" s="8" t="inlineStr">
        <is>
          <t>'Bonus' is a scatter and appears on reels 1, 3 and 5 only. ... When the Wheel Feature is triggered with 6 or more 'Wheel' symbols, the value shown in the winning segment is multiplied by the appropriate multiplier (X) - as displayed in the Multiplier Table.</t>
        </is>
      </c>
      <c r="K214" s="8" t="inlineStr">
        <is>
          <t>Wheel Feature multiplier (X, from Multiplier Table)</t>
        </is>
      </c>
      <c r="L214" s="8" t="inlineStr">
        <is>
          <t>multiplies the value shown in the winning wheel segment (a displayed cash prize scaled by bet)</t>
        </is>
      </c>
      <c r="M214" s="7" t="inlineStr">
        <is>
          <t>medium</t>
        </is>
      </c>
      <c r="N214" s="7" t="inlineStr">
        <is>
          <t>SuperCharged7sOriginal_AGT_RGS_RevA.doc</t>
        </is>
      </c>
      <c r="O214" s="8" t="inlineStr">
        <is>
          <t>Internal doc title reads 'Super Crystal 7s' (copy error); batch name used. Bonus scatter (MB) pays 3 in paytable and triggers free games; no bet-multiplied displayed scatter prize. Multiplier applies to wheel-segment prize.</t>
        </is>
      </c>
    </row>
    <row r="215">
      <c r="A215" s="7" t="inlineStr">
        <is>
          <t>Super Charged 7s</t>
        </is>
      </c>
      <c r="B215" s="7" t="inlineStr">
        <is>
          <t>no</t>
        </is>
      </c>
      <c r="C215" s="7" t="inlineStr"/>
      <c r="D215" s="7" t="inlineStr">
        <is>
          <t>none</t>
        </is>
      </c>
      <c r="E215" s="7" t="inlineStr"/>
      <c r="F215" s="8" t="inlineStr"/>
      <c r="G215" s="7" t="inlineStr">
        <is>
          <t>numLines=40</t>
        </is>
      </c>
      <c r="H215" s="7" t="inlineStr">
        <is>
          <t>No</t>
        </is>
      </c>
      <c r="I215" s="7" t="inlineStr">
        <is>
          <t>40</t>
        </is>
      </c>
      <c r="J215" s="8" t="inlineStr">
        <is>
          <t>During the game play, three scatter symbols 'Bonus' pay three times the total bet. ... When the Wheel Feature is triggered with 6 or more 'Wheel' symbols, the value shown in the winning segment is multiplied by the appropriate multiplier (X) - as displayed in the Multiplier Table.</t>
        </is>
      </c>
      <c r="K215" s="8" t="inlineStr">
        <is>
          <t>Wheel Feature multiplier (X); also Bonus scatter pays 3x total bet</t>
        </is>
      </c>
      <c r="L215" s="8" t="inlineStr">
        <is>
          <t>Wheel multiplier multiplies the winning wheel segment cash prize; Bonus scatter pays a fixed 3x total bet</t>
        </is>
      </c>
      <c r="M215" s="7" t="inlineStr">
        <is>
          <t>medium</t>
        </is>
      </c>
      <c r="N215" s="7" t="inlineStr">
        <is>
          <t>SuperCharged7s_AGT_RGS_RevD.doc</t>
        </is>
      </c>
      <c r="O215" s="8" t="inlineStr">
        <is>
          <t>3 scattered Bonus pay a FIXED 3x total bet (Bonus Paytable / RevD 'Added Bonus Pay') - a fixed bet-multiple scatter pay, not a variable displayed multiplier prize, so scatter_multiplier_present=no. Wheel-segment multiplier is the main multiplier.</t>
        </is>
      </c>
    </row>
    <row r="216">
      <c r="A216" s="7" t="inlineStr">
        <is>
          <t>Super Crystal 7s</t>
        </is>
      </c>
      <c r="B216" s="7" t="inlineStr">
        <is>
          <t>no</t>
        </is>
      </c>
      <c r="C216" s="7" t="inlineStr"/>
      <c r="D216" s="7" t="inlineStr">
        <is>
          <t>none</t>
        </is>
      </c>
      <c r="E216" s="7" t="inlineStr"/>
      <c r="F216" s="8" t="inlineStr"/>
      <c r="G216" s="7" t="inlineStr">
        <is>
          <t>numLines=40</t>
        </is>
      </c>
      <c r="H216" s="7" t="inlineStr">
        <is>
          <t>No</t>
        </is>
      </c>
      <c r="I216" s="7" t="inlineStr">
        <is>
          <t>40</t>
        </is>
      </c>
      <c r="J216" s="8" t="inlineStr">
        <is>
          <t>'Bonus' is a scatter and appears on reels 1, 3 and 5 only. ... the value shown in the winning segment is multiplied by the appropriate multiplier (X) - as displayed in the Multiplier Table.</t>
        </is>
      </c>
      <c r="K216" s="8" t="inlineStr">
        <is>
          <t>Wheel Feature multiplier (X, from Multiplier Table)</t>
        </is>
      </c>
      <c r="L216" s="8" t="inlineStr">
        <is>
          <t>multiplies the value shown in the winning wheel segment (displayed cash prize)</t>
        </is>
      </c>
      <c r="M216" s="7" t="inlineStr">
        <is>
          <t>medium</t>
        </is>
      </c>
      <c r="N216" s="7" t="inlineStr">
        <is>
          <t>SuperCrystal7s_AGT_RGS_RevA.doc</t>
        </is>
      </c>
      <c r="O216" s="8" t="inlineStr">
        <is>
          <t>Bonus scatter (MB=3 in paytable) triggers free games; no bet-multiplied displayed scatter prize. Multiplier applies to wheel segment prize.</t>
        </is>
      </c>
    </row>
    <row r="217">
      <c r="A217" s="7" t="inlineStr">
        <is>
          <t>Super Hot 7s</t>
        </is>
      </c>
      <c r="B217" s="7" t="inlineStr">
        <is>
          <t>no</t>
        </is>
      </c>
      <c r="C217" s="7" t="inlineStr"/>
      <c r="D217" s="7" t="inlineStr">
        <is>
          <t>none</t>
        </is>
      </c>
      <c r="E217" s="7" t="inlineStr"/>
      <c r="F217" s="8" t="inlineStr"/>
      <c r="G217" s="7" t="inlineStr">
        <is>
          <t>numLines=40</t>
        </is>
      </c>
      <c r="H217" s="7" t="inlineStr">
        <is>
          <t>No</t>
        </is>
      </c>
      <c r="I217" s="7" t="inlineStr">
        <is>
          <t>40</t>
        </is>
      </c>
      <c r="J217" s="8" t="inlineStr">
        <is>
          <t>'Bonus' is a scatter and appears on reels 1, 3 and 5 only. 'Wheel' is a scatter and appears on reels 2, 3 and 4 only. ... The wheel shows segments with winning values, and a pointer indicating the winning segment when the wheel stops spinning.</t>
        </is>
      </c>
      <c r="K217" s="8" t="inlineStr">
        <is>
          <t>none</t>
        </is>
      </c>
      <c r="L217" s="8" t="inlineStr"/>
      <c r="M217" s="7" t="inlineStr">
        <is>
          <t>high</t>
        </is>
      </c>
      <c r="N217" s="7" t="inlineStr">
        <is>
          <t>SuperHot7s_AGT_RGS_RevA.doc</t>
        </is>
      </c>
      <c r="O217" s="8" t="inlineStr">
        <is>
          <t>Bonus and Wheel are scatters; Bonus pays 2 (paytable) and triggers free games; Wheel triggers wheel feature that awards winning values with NO multiplier table stated. Wild is a plain wild. No multiplier symbol.</t>
        </is>
      </c>
    </row>
    <row r="218">
      <c r="A218" s="7" t="inlineStr">
        <is>
          <t>Super Lantern 8s</t>
        </is>
      </c>
      <c r="B218" s="7" t="inlineStr">
        <is>
          <t>no</t>
        </is>
      </c>
      <c r="C218" s="7" t="inlineStr"/>
      <c r="D218" s="7" t="inlineStr">
        <is>
          <t>none</t>
        </is>
      </c>
      <c r="E218" s="7" t="inlineStr"/>
      <c r="F218" s="8" t="inlineStr"/>
      <c r="G218" s="7" t="inlineStr">
        <is>
          <t>numLines=40</t>
        </is>
      </c>
      <c r="H218" s="7" t="inlineStr">
        <is>
          <t>No</t>
        </is>
      </c>
      <c r="I218" s="7" t="inlineStr">
        <is>
          <t>40</t>
        </is>
      </c>
      <c r="J218" s="8" t="inlineStr">
        <is>
          <t>'Bonus' is a scatter and appears on reels 1, 3 and 5 only. ... the value shown in the winning segment is multiplied by the appropriate multiplier (X) - as displayed in the Multiplier Table.</t>
        </is>
      </c>
      <c r="K218" s="8" t="inlineStr">
        <is>
          <t>Wheel Feature multiplier (X, from Multiplier Table)</t>
        </is>
      </c>
      <c r="L218" s="8" t="inlineStr">
        <is>
          <t>multiplies the value shown in the winning wheel segment (displayed cash prize)</t>
        </is>
      </c>
      <c r="M218" s="7" t="inlineStr">
        <is>
          <t>medium</t>
        </is>
      </c>
      <c r="N218" s="7" t="inlineStr">
        <is>
          <t>SuperLantern8s_AGT_RGS_RevA.doc</t>
        </is>
      </c>
      <c r="O218" s="8" t="inlineStr">
        <is>
          <t>Clone of Super Crystal 7s. Bonus scatter triggers free games; no bet-multiplied displayed scatter prize. Multiplier applies to wheel segment prize.</t>
        </is>
      </c>
    </row>
    <row r="219">
      <c r="A219" s="7" t="inlineStr">
        <is>
          <t>Super Sweet Hummin'</t>
        </is>
      </c>
      <c r="B219" s="7" t="inlineStr">
        <is>
          <t>no</t>
        </is>
      </c>
      <c r="C219" s="7" t="inlineStr"/>
      <c r="D219" s="7" t="inlineStr">
        <is>
          <t>none</t>
        </is>
      </c>
      <c r="E219" s="7" t="inlineStr"/>
      <c r="F219" s="8" t="inlineStr"/>
      <c r="G219" s="7" t="inlineStr">
        <is>
          <t>numLines=1..100</t>
        </is>
      </c>
      <c r="H219" s="7" t="inlineStr">
        <is>
          <t>No</t>
        </is>
      </c>
      <c r="I219" s="7" t="inlineStr">
        <is>
          <t>100</t>
        </is>
      </c>
      <c r="J219" s="8" t="inlineStr">
        <is>
          <t>'Volcano' is a scatter. ... 8 free games are triggered by any 3 or more scattered 'Volcano'.</t>
        </is>
      </c>
      <c r="K219" s="8" t="inlineStr">
        <is>
          <t>none</t>
        </is>
      </c>
      <c r="L219" s="8" t="inlineStr"/>
      <c r="M219" s="7" t="inlineStr">
        <is>
          <t>high</t>
        </is>
      </c>
      <c r="N219" s="7" t="inlineStr">
        <is>
          <t>Super Sweet Hummin' AGT_RGS_Rev B pf1.doc</t>
        </is>
      </c>
      <c r="O219" s="8" t="inlineStr">
        <is>
          <t>Volcano scatter triggers free games and pays via paytable. Flower feature (replaces symbols) has no multiplier. No multiplier symbols.</t>
        </is>
      </c>
    </row>
    <row r="220">
      <c r="A220" s="7" t="inlineStr">
        <is>
          <t>SuperCrystal7sEnergized</t>
        </is>
      </c>
      <c r="B220" s="7" t="inlineStr">
        <is>
          <t>no</t>
        </is>
      </c>
      <c r="C220" s="7" t="inlineStr"/>
      <c r="D220" s="7" t="inlineStr">
        <is>
          <t>none</t>
        </is>
      </c>
      <c r="E220" s="7" t="inlineStr"/>
      <c r="F220" s="8" t="inlineStr"/>
      <c r="G220" s="7" t="inlineStr">
        <is>
          <t>numLines=40</t>
        </is>
      </c>
      <c r="H220" s="7" t="inlineStr">
        <is>
          <t>No</t>
        </is>
      </c>
      <c r="I220" s="7" t="inlineStr">
        <is>
          <t>40</t>
        </is>
      </c>
      <c r="J220" s="8" t="inlineStr">
        <is>
          <t>'Bonus' is a scatter and appears on reels 1, 3 and 5 only. ... the value shown in the winning segment is multiplied by the appropriate multiplier (X) - as displayed in the Multiplier Table.</t>
        </is>
      </c>
      <c r="K220" s="8" t="inlineStr">
        <is>
          <t>Wheel Feature multiplier (X, from Multiplier Table)</t>
        </is>
      </c>
      <c r="L220" s="8" t="inlineStr">
        <is>
          <t>multiplies the value shown in the winning wheel segment (displayed cash prize)</t>
        </is>
      </c>
      <c r="M220" s="7" t="inlineStr">
        <is>
          <t>medium</t>
        </is>
      </c>
      <c r="N220" s="7" t="inlineStr">
        <is>
          <t>SuperCrystal7sEnergized.doc</t>
        </is>
      </c>
      <c r="O220" s="8" t="inlineStr">
        <is>
          <t>Clone of SuperCrystal7s. Bonus scatter triggers free games; no bet-multiplied displayed scatter prize. Multiplier applies to wheel segment prize.</t>
        </is>
      </c>
    </row>
    <row r="221">
      <c r="A221" s="7" t="inlineStr">
        <is>
          <t>SuperLantern8sEnergized</t>
        </is>
      </c>
      <c r="B221" s="7" t="inlineStr">
        <is>
          <t>no</t>
        </is>
      </c>
      <c r="C221" s="7" t="inlineStr"/>
      <c r="D221" s="7" t="inlineStr">
        <is>
          <t>none</t>
        </is>
      </c>
      <c r="E221" s="7" t="inlineStr"/>
      <c r="F221" s="8" t="inlineStr"/>
      <c r="G221" s="7" t="inlineStr">
        <is>
          <t>numLines=40</t>
        </is>
      </c>
      <c r="H221" s="7" t="inlineStr">
        <is>
          <t>No</t>
        </is>
      </c>
      <c r="I221" s="7" t="inlineStr">
        <is>
          <t>40</t>
        </is>
      </c>
      <c r="J221" s="8" t="inlineStr">
        <is>
          <t>'Bonus' is a scatter and appears on reels 1, 3 and 5 only. ... the value shown in the winning segment is multiplied by the appropriate multiplier (X) - as displayed in the Multiplier Table.</t>
        </is>
      </c>
      <c r="K221" s="8" t="inlineStr">
        <is>
          <t>Wheel Feature multiplier (X, from Multiplier Table)</t>
        </is>
      </c>
      <c r="L221" s="8" t="inlineStr">
        <is>
          <t>multiplies the value shown in the winning wheel segment (displayed cash prize)</t>
        </is>
      </c>
      <c r="M221" s="7" t="inlineStr">
        <is>
          <t>medium</t>
        </is>
      </c>
      <c r="N221" s="7" t="inlineStr">
        <is>
          <t>SuperLantern8sEnergized.doc</t>
        </is>
      </c>
      <c r="O221" s="8" t="inlineStr">
        <is>
          <t>Clone of Super Lantern 8s. Bonus scatter triggers free games; no bet-multiplied displayed scatter prize. Multiplier applies to wheel segment prize.</t>
        </is>
      </c>
    </row>
    <row r="222">
      <c r="A222" s="7" t="inlineStr">
        <is>
          <t>SushiDelightRapidFeature</t>
        </is>
      </c>
      <c r="B222" s="7" t="inlineStr">
        <is>
          <t>no</t>
        </is>
      </c>
      <c r="C222" s="7" t="inlineStr"/>
      <c r="D222" s="7" t="inlineStr">
        <is>
          <t>none</t>
        </is>
      </c>
      <c r="E222" s="7" t="inlineStr"/>
      <c r="F222" s="8" t="inlineStr"/>
      <c r="G222" s="7" t="inlineStr">
        <is>
          <t>numLines=50, static=75 (AnteBet)</t>
        </is>
      </c>
      <c r="H222" s="7" t="inlineStr">
        <is>
          <t>No</t>
        </is>
      </c>
      <c r="I222" s="7" t="inlineStr">
        <is>
          <t>50</t>
        </is>
      </c>
      <c r="J222" s="8" t="inlineStr">
        <is>
          <t>All available bet options are multiplied by static multiplier '75'. [Sticky Wild Games Coin][Bonus Prize Games Coin][Extra Spins Games Coin][+1 Extra Game] are scatters.</t>
        </is>
      </c>
      <c r="K222" s="8" t="inlineStr">
        <is>
          <t>none (feature-trigger coins; Bonus Prize collect-mechanic awards Mini/Minor/Maxi/Major/Grand)</t>
        </is>
      </c>
      <c r="L222" s="8" t="inlineStr"/>
      <c r="M222" s="7" t="inlineStr">
        <is>
          <t>high</t>
        </is>
      </c>
      <c r="N222" s="7" t="inlineStr">
        <is>
          <t>SushiDelightRapidFeature.docx</t>
        </is>
      </c>
      <c r="O222" s="8" t="inlineStr">
        <is>
          <t>Clone of San Fa Dragons. Static multiplier '75' is the AnteBet on bet options. The scatter coins only trigger features; bonus prizes are fixed collection prizes (Grand 500/Major 200/Maxi 15/Minor 8/Mini 3 at 1c), NOT a variable prize 'x N times bet' displayed on a scatter. So no static-multiplier scatter prize; strategy=none.</t>
        </is>
      </c>
    </row>
    <row r="223">
      <c r="A223" s="7" t="inlineStr">
        <is>
          <t>Sweet Chilli</t>
        </is>
      </c>
      <c r="B223" s="7" t="inlineStr">
        <is>
          <t>yes</t>
        </is>
      </c>
      <c r="C223" s="7" t="inlineStr">
        <is>
          <t>Red Chilli, Green Chilli (Electric Prize scatters)</t>
        </is>
      </c>
      <c r="D223" s="7" t="inlineStr">
        <is>
          <t>total_bet</t>
        </is>
      </c>
      <c r="E223" s="10" t="inlineStr">
        <is>
          <t>TotalBet</t>
        </is>
      </c>
      <c r="F223" s="8" t="inlineStr">
        <is>
          <t>Electric Prizes of 1, 2, 3, 5, 10, 25, 50, 100 or 250 x total bet</t>
        </is>
      </c>
      <c r="G223" s="7" t="inlineStr">
        <is>
          <t>numLines=25</t>
        </is>
      </c>
      <c r="H223" s="7" t="inlineStr">
        <is>
          <t>No</t>
        </is>
      </c>
      <c r="I223" s="7" t="inlineStr">
        <is>
          <t>25</t>
        </is>
      </c>
      <c r="J223" s="8" t="inlineStr">
        <is>
          <t>'Red Chilli' or 'Green Chilli' symbol always appear on screen with a random Electric Prizes of 1, 2, 3, 5, 10, 25, 50, 100 or 250 multiplied by total bet OR with Mini or Minor Bonuses as displayed. 6 or more 'Red Chilli' and /or 'Green Chilli' symbol win all Electric Prizes appearing on them.</t>
        </is>
      </c>
      <c r="K223" s="8" t="inlineStr">
        <is>
          <t>none (Stick &amp; Spin collect feature; Grand/Major bonuses by collection)</t>
        </is>
      </c>
      <c r="L223" s="8" t="inlineStr"/>
      <c r="M223" s="7" t="inlineStr">
        <is>
          <t>high</t>
        </is>
      </c>
      <c r="N223" s="7" t="inlineStr">
        <is>
          <t>Sweet Chilli_AGT_RGS_RevA.doc</t>
        </is>
      </c>
      <c r="O223" s="8" t="inlineStr">
        <is>
          <t>Clear scatter multiplier: Red/Green Chilli carry a random Electric Prize value multiplied by TOTAL BET (or Mini/Minor bonus). Awarded via Stick &amp; Spin feature.</t>
        </is>
      </c>
    </row>
    <row r="224">
      <c r="A224" s="7" t="inlineStr">
        <is>
          <t>The Enforcer</t>
        </is>
      </c>
      <c r="B224" s="7" t="inlineStr">
        <is>
          <t>no</t>
        </is>
      </c>
      <c r="C224" s="7" t="inlineStr"/>
      <c r="D224" s="7" t="inlineStr">
        <is>
          <t>none</t>
        </is>
      </c>
      <c r="E224" s="7" t="inlineStr"/>
      <c r="F224" s="8" t="inlineStr"/>
      <c r="G224" s="7" t="inlineStr">
        <is>
          <t>numLines=20</t>
        </is>
      </c>
      <c r="H224" s="7" t="inlineStr">
        <is>
          <t>No</t>
        </is>
      </c>
      <c r="I224" s="7" t="inlineStr">
        <is>
          <t>20</t>
        </is>
      </c>
      <c r="J224" s="8" t="inlineStr">
        <is>
          <t>'Sheriff' is a scatter. ... 8 free games are triggered by any 3 or more scattered 'Sheriff'. ... During the Free Games Feature, any 'Sheriff' appearing on reel 1/5 will randomly reveal a multiplier of x1, x2 or x3 as displayed. When only one 'Sheriff' symbol with multiplier ... substitutes in a winning combination, the prize for that winning combination is multiplied by x1, x2 or x3 respectively.</t>
        </is>
      </c>
      <c r="K224" s="8" t="inlineStr">
        <is>
          <t>Sheriff multiplier x1/x2/x3 in Free Games Feature (Sheriff substitutes as wild)</t>
        </is>
      </c>
      <c r="L224" s="8" t="inlineStr">
        <is>
          <t>multiplies the prize for the winning combination it substitutes in; two Sheriffs multiply by the product of both values (win-based)</t>
        </is>
      </c>
      <c r="M224" s="7" t="inlineStr">
        <is>
          <t>high</t>
        </is>
      </c>
      <c r="N224" s="7" t="inlineStr">
        <is>
          <t>The Enforcer AGT_RGS_Rev A.doc</t>
        </is>
      </c>
      <c r="O224" s="8" t="inlineStr">
        <is>
          <t>Sheriff is a scatter that triggers free games (pays via paytable in base). In feature it acts as a wild carrying x1/x2/x3 multiplier applied to line-win prizes, not a bet-derived base.</t>
        </is>
      </c>
    </row>
    <row r="225">
      <c r="A225" s="7" t="inlineStr">
        <is>
          <t>Thunder Cash</t>
        </is>
      </c>
      <c r="B225" s="7" t="inlineStr">
        <is>
          <t>no</t>
        </is>
      </c>
      <c r="C225" s="7" t="inlineStr"/>
      <c r="D225" s="7" t="inlineStr">
        <is>
          <t>none</t>
        </is>
      </c>
      <c r="E225" s="7" t="inlineStr"/>
      <c r="F225" s="8" t="inlineStr"/>
      <c r="G225" s="7" t="inlineStr">
        <is>
          <t>numLines=1..20</t>
        </is>
      </c>
      <c r="H225" s="7" t="inlineStr">
        <is>
          <t>No</t>
        </is>
      </c>
      <c r="I225" s="7" t="inlineStr">
        <is>
          <t>20</t>
        </is>
      </c>
      <c r="J225" s="8" t="inlineStr">
        <is>
          <t>'Thunder Cash' is a scatter. ... 8 free games are triggered by any 3 or more scattered 'Thunder Cash'.</t>
        </is>
      </c>
      <c r="K225" s="8" t="inlineStr">
        <is>
          <t>none</t>
        </is>
      </c>
      <c r="L225" s="8" t="inlineStr"/>
      <c r="M225" s="7" t="inlineStr">
        <is>
          <t>high</t>
        </is>
      </c>
      <c r="N225" s="7" t="inlineStr">
        <is>
          <t>Thunder_Cash_AGT_RGS_Rev_B.doc</t>
        </is>
      </c>
      <c r="O225" s="8" t="inlineStr">
        <is>
          <t>Thunder Cash scatter triggers free games and pays via paytable. Lightning Bolts is a plain held wild. No multiplier symbol.</t>
        </is>
      </c>
    </row>
    <row r="226">
      <c r="A226" s="7" t="inlineStr">
        <is>
          <t>ThunderCashDollarKing</t>
        </is>
      </c>
      <c r="B226" s="7" t="inlineStr">
        <is>
          <t>no</t>
        </is>
      </c>
      <c r="C226" s="7" t="inlineStr"/>
      <c r="D226" s="7" t="inlineStr">
        <is>
          <t>none</t>
        </is>
      </c>
      <c r="E226" s="7" t="inlineStr"/>
      <c r="F226" s="8" t="inlineStr"/>
      <c r="G226" s="7" t="inlineStr">
        <is>
          <t>numLines=20</t>
        </is>
      </c>
      <c r="H226" s="7" t="inlineStr">
        <is>
          <t>No</t>
        </is>
      </c>
      <c r="I226" s="7" t="inlineStr">
        <is>
          <t>20</t>
        </is>
      </c>
      <c r="J226" s="8" t="inlineStr">
        <is>
          <t>'wheel', 'wheelx2', 'wheelx3', 'wheelx4', 'wheelx5' and 'Thunder Cash' are scatters. ... 'wheel' and 'wheelx2' trigger the Wheel Feature, the wheel prize shown in the winning segment is multiplied by 2.</t>
        </is>
      </c>
      <c r="K226" s="8" t="inlineStr">
        <is>
          <t>wheelx2 / wheelx3 / wheelx4 / wheelx5 scatter multipliers in Wheel Feature</t>
        </is>
      </c>
      <c r="L226" s="8" t="inlineStr">
        <is>
          <t>multiply the wheel prize shown in the winning segment by 2/3/4/5 (multiplies the wheel-segment prize value, not bet directly)</t>
        </is>
      </c>
      <c r="M226" s="7" t="inlineStr">
        <is>
          <t>high</t>
        </is>
      </c>
      <c r="N226" s="7" t="inlineStr">
        <is>
          <t>ThunderCashDollarKing_AGT_RGS_RevA.doc</t>
        </is>
      </c>
      <c r="O226" s="8" t="inlineStr">
        <is>
          <t>Thunder Cash scatter triggers Thunder Cash Feature and pays via paytable. wheelxN scatters multiply the wheel-segment prize. Bonus wheel gives fixed Grand/Maxi/Midi/Mini prizes. No scatter prize displayed as x total bet.</t>
        </is>
      </c>
    </row>
    <row r="227">
      <c r="A227" s="7" t="inlineStr">
        <is>
          <t>Totem Treasure</t>
        </is>
      </c>
      <c r="B227" s="7" t="inlineStr">
        <is>
          <t>no</t>
        </is>
      </c>
      <c r="C227" s="7" t="inlineStr"/>
      <c r="D227" s="7" t="inlineStr">
        <is>
          <t>none</t>
        </is>
      </c>
      <c r="E227" s="7" t="inlineStr"/>
      <c r="F227" s="8" t="inlineStr"/>
      <c r="G227" s="7" t="inlineStr">
        <is>
          <t>numLines=30</t>
        </is>
      </c>
      <c r="H227" s="7" t="inlineStr">
        <is>
          <t>No</t>
        </is>
      </c>
      <c r="I227" s="7" t="inlineStr">
        <is>
          <t>30</t>
        </is>
      </c>
      <c r="J227" s="8" t="inlineStr">
        <is>
          <t>'Totem Treasure' is a scatter. ... Free Games Feature is triggered by any 3 or more scattered 'Totem Treasure'. ... if one or more 'Totem' substitute in a win, the pay for that win is doubled (x2)/tripled (x3)/multiplied by 5 (x5).</t>
        </is>
      </c>
      <c r="K227" s="8" t="inlineStr">
        <is>
          <t>Totem wild-substitution multiplier x2/x3/x5 (per chosen feature option) in Free Games</t>
        </is>
      </c>
      <c r="L227" s="8" t="inlineStr">
        <is>
          <t>multiplies the pay for the win in which Totem substitutes (win-based)</t>
        </is>
      </c>
      <c r="M227" s="7" t="inlineStr">
        <is>
          <t>high</t>
        </is>
      </c>
      <c r="N227" s="7" t="inlineStr">
        <is>
          <t>Totem_Treasure_AGT_RGS_Rev_B.doc</t>
        </is>
      </c>
      <c r="O227" s="8" t="inlineStr">
        <is>
          <t>Totem Treasure scatter triggers free games and pays via paytable. Multiplier is a wild-substitution multiplier on line wins selected via 3 feature options.</t>
        </is>
      </c>
    </row>
    <row r="228">
      <c r="A228" s="7" t="inlineStr">
        <is>
          <t>Treasure Spirits Dragon</t>
        </is>
      </c>
      <c r="B228" s="7" t="inlineStr">
        <is>
          <t>yes</t>
        </is>
      </c>
      <c r="C228" s="7" t="inlineStr">
        <is>
          <t>Golden Prize, Coin (and Hold N Stack 'stack prizes')</t>
        </is>
      </c>
      <c r="D228" s="7" t="inlineStr">
        <is>
          <t>total_bet</t>
        </is>
      </c>
      <c r="E228" s="10" t="inlineStr">
        <is>
          <t>TotalBet</t>
        </is>
      </c>
      <c r="F228" s="8" t="inlineStr">
        <is>
          <t>Golden Prize: 3,5,8,10,20,25,50,100,200 x total bet; Coin: 1,2,3,5,8,10,20,25,50 x total bet; stack prizes X2..X100 of total bet</t>
        </is>
      </c>
      <c r="G228" s="7" t="inlineStr">
        <is>
          <t>Ways=243</t>
        </is>
      </c>
      <c r="H228" s="7" t="inlineStr">
        <is>
          <t>No</t>
        </is>
      </c>
      <c r="I228" s="7" t="inlineStr"/>
      <c r="J228" s="8" t="inlineStr">
        <is>
          <t>'Golden Prize' symbol always appears on screen with a random Prize of 3, 5, 8, 10, 20, 25, 50, 100 or 200 multiplied by total bet OR with MINOR BONUS or MINI BONUS as displayed. 'Coin' symbol always appears on screen with a random Prize of 1, 2, 3, 5, 8, 10, 20, 25 or 50 multiplied by total bet as displayed during the paid games and Hold N Stack Feature only.</t>
        </is>
      </c>
      <c r="K228" s="8" t="inlineStr">
        <is>
          <t>'Longevity x2' wild multiplier in Free Games Feature</t>
        </is>
      </c>
      <c r="L228" s="8" t="inlineStr">
        <is>
          <t>every 'Longevity x2' that substitutes in a win doubles the pay for that win (win-based)</t>
        </is>
      </c>
      <c r="M228" s="7" t="inlineStr">
        <is>
          <t>high</t>
        </is>
      </c>
      <c r="N228" s="7" t="inlineStr">
        <is>
          <t>TreasureSpiritsDragon_AGT_RGS_RevA.doc</t>
        </is>
      </c>
      <c r="O228" s="8" t="inlineStr">
        <is>
          <t>Hold and Stack game (243 ways). Golden Prize and Coin scatters carry a random Prize value x TOTAL BET; Hold N Stack stack prizes are stated as X-multiples of total bet. Bonus levels (Mini/Minor/Major/Grand) are fixed.</t>
        </is>
      </c>
    </row>
    <row r="229">
      <c r="A229" s="7" t="inlineStr">
        <is>
          <t>Treasure Spirits Phoenix</t>
        </is>
      </c>
      <c r="B229" s="7" t="inlineStr">
        <is>
          <t>yes</t>
        </is>
      </c>
      <c r="C229" s="7" t="inlineStr">
        <is>
          <t>Golden Prize, Coin (and Hold N Stack 'stack prizes')</t>
        </is>
      </c>
      <c r="D229" s="7" t="inlineStr">
        <is>
          <t>total_bet</t>
        </is>
      </c>
      <c r="E229" s="10" t="inlineStr">
        <is>
          <t>TotalBet</t>
        </is>
      </c>
      <c r="F229" s="8" t="inlineStr">
        <is>
          <t>Golden Prize: 3,5,8,10,20,25,50,100,200 x total bet; Coin: 1,2,3,5,8,10,20,25,50 x total bet; stack prizes X2..X100 of total bet</t>
        </is>
      </c>
      <c r="G229" s="7" t="inlineStr">
        <is>
          <t>Ways=243</t>
        </is>
      </c>
      <c r="H229" s="7" t="inlineStr">
        <is>
          <t>No</t>
        </is>
      </c>
      <c r="I229" s="7" t="inlineStr"/>
      <c r="J229" s="8" t="inlineStr">
        <is>
          <t>'Golden Prize' symbol always appears on screen with a random Prize of 3, 5, 8, 10, 20, 25, 50, 100 or 200 multiplied by total bet OR with MINOR BONUS or MINI BONUS as displayed. 'Coin' symbol always appears on screen with a random Prize of 1, 2, 3, 5, 8, 10, 20, 25 or 50 multiplied by total bet as displayed during the paid games and Hold N Stack Feature only.</t>
        </is>
      </c>
      <c r="K229" s="8" t="inlineStr">
        <is>
          <t>'WildX3' and 'WildX5' wild multipliers in Free Games Feature</t>
        </is>
      </c>
      <c r="L229" s="8" t="inlineStr">
        <is>
          <t>wins with WildX3/WildX5 substituting are multiplied by 3/5 (both = x15); win-based</t>
        </is>
      </c>
      <c r="M229" s="7" t="inlineStr">
        <is>
          <t>high</t>
        </is>
      </c>
      <c r="N229" s="7" t="inlineStr">
        <is>
          <t>TreasureSpiritsPhoenix_AGT_RGS_RevA.doc</t>
        </is>
      </c>
      <c r="O229" s="8" t="inlineStr">
        <is>
          <t>Hold and Stack game (243 ways), sibling of Treasure Spirits Dragon. Golden Prize and Coin scatters carry a random Prize value x TOTAL BET; stack prizes are X-multiples of total bet. Bonus levels are fixed.</t>
        </is>
      </c>
    </row>
    <row r="230">
      <c r="A230" s="7" t="inlineStr">
        <is>
          <t>TripleShot GoldenGoal_TS6</t>
        </is>
      </c>
      <c r="B230" s="7" t="inlineStr">
        <is>
          <t>no</t>
        </is>
      </c>
      <c r="C230" s="7" t="inlineStr"/>
      <c r="D230" s="7" t="inlineStr">
        <is>
          <t>none</t>
        </is>
      </c>
      <c r="E230" s="7" t="inlineStr"/>
      <c r="F230" s="8" t="inlineStr"/>
      <c r="G230" s="7" t="inlineStr">
        <is>
          <t>numLines=50, static=75 (AnteBet)</t>
        </is>
      </c>
      <c r="H230" s="7" t="inlineStr">
        <is>
          <t>No</t>
        </is>
      </c>
      <c r="I230" s="7" t="inlineStr">
        <is>
          <t>50</t>
        </is>
      </c>
      <c r="J230" s="8" t="inlineStr">
        <is>
          <t>All available bet options are multiplied by static multiplier '75'. [Sticky Wild Games Coin][Bonus Prize Games Coin][Extra Spins Games Coin][+1 Extra Game] are scatters.</t>
        </is>
      </c>
      <c r="K230" s="8" t="inlineStr">
        <is>
          <t>none (feature-trigger coins; Bonus Prize collect-mechanic awards Mini/Minor/Maxi/Major/Grand)</t>
        </is>
      </c>
      <c r="L230" s="8" t="inlineStr"/>
      <c r="M230" s="7" t="inlineStr">
        <is>
          <t>high</t>
        </is>
      </c>
      <c r="N230" s="7" t="inlineStr">
        <is>
          <t>TripleShot GoldenGoal.docx</t>
        </is>
      </c>
      <c r="O230" s="8" t="inlineStr">
        <is>
          <t>Clone of San Fa Dragons (same engine as SushiDelightRapidFeature). Static multiplier '75' is the AnteBet on bet options. Scatter coins only trigger features; bonus prizes are fixed collection prizes (Grand 500/Major 200/Maxi 15/Minor 8/Mini 3 at 1c), not a variable displayed 'x N bet' scatter prize; strategy=none.</t>
        </is>
      </c>
    </row>
    <row r="231">
      <c r="A231" s="7" t="inlineStr">
        <is>
          <t>TripleTrovesDragonsDelight</t>
        </is>
      </c>
      <c r="B231" s="7" t="inlineStr">
        <is>
          <t>no</t>
        </is>
      </c>
      <c r="C231" s="7" t="inlineStr"/>
      <c r="D231" s="7" t="inlineStr">
        <is>
          <t>none</t>
        </is>
      </c>
      <c r="E231" s="7" t="inlineStr"/>
      <c r="F231" s="8" t="inlineStr"/>
      <c r="G231" s="7" t="inlineStr">
        <is>
          <t>ways=1024, AnteBet=88 (total bet 0.88 base)</t>
        </is>
      </c>
      <c r="H231" s="7" t="inlineStr">
        <is>
          <t>No</t>
        </is>
      </c>
      <c r="I231" s="7" t="inlineStr">
        <is>
          <t>88</t>
        </is>
      </c>
      <c r="J231" s="8" t="inlineStr">
        <is>
          <t>[Cash Bonus Coin], [Ultimate Dragon Bonus Coin], and [Dragon Bonus Coin] are scatters. ... adds to [Cash Bonus], [Ultimate Dragon Bonus] and [Dragon Bonus] respectively, each time they appear on reels during a paid game.</t>
        </is>
      </c>
      <c r="K231" s="8" t="inlineStr">
        <is>
          <t>2x symbol overlays ([2x M1],[2x M5]) added in feature spins; [2x Mini/Minor/Mega Coin] in pick bonus double the bonus prize</t>
        </is>
      </c>
      <c r="L231" s="8" t="inlineStr">
        <is>
          <t>2x coins double the respective bonus prize; 2x symbol tiles are doubled paytable symbols; bonuses themselves are fixed table values (bet 88c)</t>
        </is>
      </c>
      <c r="M231" s="7" t="inlineStr">
        <is>
          <t>high</t>
        </is>
      </c>
      <c r="N231" s="7" t="inlineStr">
        <is>
          <t>TripleTrovesDragonsDelight.doc</t>
        </is>
      </c>
      <c r="O231" s="8" t="inlineStr">
        <is>
          <t>1024-ways game. Scatter coins accrue to feature pots and trigger pick bonuses paying a fixed bonus table; no scatter symbol displays a bet-multiplied prize.</t>
        </is>
      </c>
    </row>
    <row r="232">
      <c r="A232" s="7" t="inlineStr">
        <is>
          <t>TripleTrovesRhino</t>
        </is>
      </c>
      <c r="B232" s="7" t="inlineStr">
        <is>
          <t>no</t>
        </is>
      </c>
      <c r="C232" s="7" t="inlineStr"/>
      <c r="D232" s="7" t="inlineStr">
        <is>
          <t>none</t>
        </is>
      </c>
      <c r="E232" s="7" t="inlineStr"/>
      <c r="F232" s="8" t="inlineStr"/>
      <c r="G232" s="7" t="inlineStr">
        <is>
          <t>ways=1024, AnteBet=88</t>
        </is>
      </c>
      <c r="H232" s="7" t="inlineStr">
        <is>
          <t>No</t>
        </is>
      </c>
      <c r="I232" s="7" t="inlineStr">
        <is>
          <t>88</t>
        </is>
      </c>
      <c r="J232" s="8" t="inlineStr">
        <is>
          <t>[Cash Bonus Coin], [Ultimate Rhino Bonus Coin], and [Rhino Bonus Coin] are scatters. ... adds to [Cash Bonus], [Ultimate Rhino Bonus] and [Rhino Bonus] respectively, each time they appear on reels during a paid game.</t>
        </is>
      </c>
      <c r="K232" s="8" t="inlineStr">
        <is>
          <t>2x symbol overlays ([2x M1],[2x M5]) added in feature spins; [2x Mini/Minor/Mega Coin] in pick bonus double the bonus prize</t>
        </is>
      </c>
      <c r="L232" s="8" t="inlineStr">
        <is>
          <t>2x coins double the respective bonus prize; bonuses are fixed table values (bet 88c)</t>
        </is>
      </c>
      <c r="M232" s="7" t="inlineStr">
        <is>
          <t>high</t>
        </is>
      </c>
      <c r="N232" s="7" t="inlineStr">
        <is>
          <t>TripleTrovesRhino.doc</t>
        </is>
      </c>
      <c r="O232" s="8" t="inlineStr">
        <is>
          <t>Identical structure to Triple Troves Dragons Delight (Rhino theme). Scatter coins accrue to pots / trigger pick bonuses paying fixed table; no bet-multiplied scatter prize.</t>
        </is>
      </c>
    </row>
    <row r="233">
      <c r="A233" s="7" t="inlineStr">
        <is>
          <t>Trojan Treasure</t>
        </is>
      </c>
      <c r="B233" s="7" t="inlineStr">
        <is>
          <t>no</t>
        </is>
      </c>
      <c r="C233" s="7" t="inlineStr"/>
      <c r="D233" s="7" t="inlineStr">
        <is>
          <t>none</t>
        </is>
      </c>
      <c r="E233" s="7" t="inlineStr"/>
      <c r="F233" s="8" t="inlineStr"/>
      <c r="G233" s="7" t="inlineStr">
        <is>
          <t>numLines=100</t>
        </is>
      </c>
      <c r="H233" s="7" t="inlineStr">
        <is>
          <t>No</t>
        </is>
      </c>
      <c r="I233" s="7" t="inlineStr">
        <is>
          <t>100</t>
        </is>
      </c>
      <c r="J233" s="8" t="inlineStr">
        <is>
          <t>' Trojan Treasure Shield' is a scatter. ... 8 free games are triggered by any 3 or more scattered ' Trojan Treasure Shield'.</t>
        </is>
      </c>
      <c r="K233" s="8" t="inlineStr">
        <is>
          <t>'Multiplier Horse' x2 (reel 2) / x2 or x3 (reel 4) in Free Games Feature</t>
        </is>
      </c>
      <c r="L233" s="8" t="inlineStr">
        <is>
          <t>If one or more 'Multiplier Horse' substitutes in a win, the prize for that win is multiplied by every multiplier as displayed (multiplies the line win, win-based)</t>
        </is>
      </c>
      <c r="M233" s="7" t="inlineStr">
        <is>
          <t>high</t>
        </is>
      </c>
      <c r="N233" s="7" t="inlineStr">
        <is>
          <t>Trojan Treasure AGT_RGS_Rev E pf1.doc</t>
        </is>
      </c>
      <c r="O233" s="8" t="inlineStr">
        <is>
          <t>Scatter Shield pays via paytable and triggers free games. Multiplier is a wild-style symbol multiplier on line wins in the feature.</t>
        </is>
      </c>
    </row>
    <row r="234">
      <c r="A234" s="7" t="inlineStr">
        <is>
          <t>Twice The Diamonds</t>
        </is>
      </c>
      <c r="B234" s="7" t="inlineStr">
        <is>
          <t>no</t>
        </is>
      </c>
      <c r="C234" s="7" t="inlineStr"/>
      <c r="D234" s="7" t="inlineStr">
        <is>
          <t>none</t>
        </is>
      </c>
      <c r="E234" s="7" t="inlineStr"/>
      <c r="F234" s="8" t="inlineStr"/>
      <c r="G234" s="7" t="inlineStr">
        <is>
          <t>numLines=30</t>
        </is>
      </c>
      <c r="H234" s="7" t="inlineStr">
        <is>
          <t>No</t>
        </is>
      </c>
      <c r="I234" s="7" t="inlineStr">
        <is>
          <t>30</t>
        </is>
      </c>
      <c r="J234" s="8" t="inlineStr">
        <is>
          <t>'Twice The Diamonds' is a scatter. ... 10 free games are triggered by any 3 or more scattered 'Twice The Diamonds'.</t>
        </is>
      </c>
      <c r="K234" s="8" t="inlineStr">
        <is>
          <t>'Key' multiplier x2 (fg 1-4) / x4 (fg 5-8) / x8 (fg 9+) in Free Games Feature</t>
        </is>
      </c>
      <c r="L234" s="8" t="inlineStr">
        <is>
          <t>if a 'Key' substitutes in a winning combination, the pay for that win is multiplied by the 'Key' multiplier (multiplies the line win, win-based)</t>
        </is>
      </c>
      <c r="M234" s="7" t="inlineStr">
        <is>
          <t>high</t>
        </is>
      </c>
      <c r="N234" s="7" t="inlineStr">
        <is>
          <t>Twice the Diamonds_AGT_RGS_RevA.doc</t>
        </is>
      </c>
      <c r="O234" s="8" t="inlineStr">
        <is>
          <t>Rules given via STR tokens plus expanded plain text. Scatter triggers free games; Key is a wild-style substitute multiplier on wins.</t>
        </is>
      </c>
    </row>
    <row r="235">
      <c r="A235" s="7" t="inlineStr">
        <is>
          <t>Twice The Money</t>
        </is>
      </c>
      <c r="B235" s="7" t="inlineStr">
        <is>
          <t>no</t>
        </is>
      </c>
      <c r="C235" s="7" t="inlineStr"/>
      <c r="D235" s="7" t="inlineStr">
        <is>
          <t>none</t>
        </is>
      </c>
      <c r="E235" s="7" t="inlineStr"/>
      <c r="F235" s="8" t="inlineStr"/>
      <c r="G235" s="7" t="inlineStr"/>
      <c r="H235" s="7" t="inlineStr">
        <is>
          <t>No</t>
        </is>
      </c>
      <c r="I235" s="7" t="inlineStr">
        <is>
          <t>30</t>
        </is>
      </c>
      <c r="J235" s="8" t="inlineStr">
        <is>
          <t>'Gold' is a scatter. ... 10 free games of Free Games Feature are triggered by any 3 or more scattered 'Gold'.</t>
        </is>
      </c>
      <c r="K235" s="8" t="inlineStr">
        <is>
          <t>'Multiplier Dynamite' x2 (fg 1-4) / x4 (fg 5-8) / x8 (fg 9+) in Free Games and Twice The Money Feature</t>
        </is>
      </c>
      <c r="L235" s="8" t="inlineStr">
        <is>
          <t>if a 'Multiplier Dynamite' substitutes in a winning combination, the pay for that win is multiplied (multiplies the line win, win-based)</t>
        </is>
      </c>
      <c r="M235" s="7" t="inlineStr">
        <is>
          <t>high</t>
        </is>
      </c>
      <c r="N235" s="7" t="inlineStr">
        <is>
          <t>Twice The Money Game.doc</t>
        </is>
      </c>
      <c r="O235" s="8" t="inlineStr">
        <is>
          <t>Bet/line config table largely blank (Bet Per Line 1). Scatter Gold triggers free games; Multiplier Dynamite is wild-style win multiplier.</t>
        </is>
      </c>
    </row>
    <row r="236">
      <c r="A236" s="7" t="inlineStr">
        <is>
          <t>Twice the Gold</t>
        </is>
      </c>
      <c r="B236" s="7" t="inlineStr">
        <is>
          <t>no</t>
        </is>
      </c>
      <c r="C236" s="7" t="inlineStr"/>
      <c r="D236" s="7" t="inlineStr">
        <is>
          <t>none</t>
        </is>
      </c>
      <c r="E236" s="7" t="inlineStr"/>
      <c r="F236" s="8" t="inlineStr"/>
      <c r="G236" s="7" t="inlineStr">
        <is>
          <t>numLines=30/40/50</t>
        </is>
      </c>
      <c r="H236" s="7" t="inlineStr">
        <is>
          <t>No</t>
        </is>
      </c>
      <c r="I236" s="7" t="inlineStr">
        <is>
          <t>30</t>
        </is>
      </c>
      <c r="J236" s="8" t="inlineStr">
        <is>
          <t>'Twice the Gold' is a scatter. ... Scatter wins are multiplied by the total credits bet. ... Feature is triggered by any 3 or more scattered 'Twice the Gold'.</t>
        </is>
      </c>
      <c r="K236" s="8" t="inlineStr">
        <is>
          <t>'Key' multiplier x2/x4/x8 across Twice the Money/Extra Money/Twice the Diamonds/Twice the Gems features</t>
        </is>
      </c>
      <c r="L236" s="8" t="inlineStr">
        <is>
          <t>if a 'Key' substitutes in a winning combination, the pay for that win is multiplied by the 'Key' multiplier (win-based line-win multiplier)</t>
        </is>
      </c>
      <c r="M236" s="7" t="inlineStr">
        <is>
          <t>high</t>
        </is>
      </c>
      <c r="N236" s="7" t="inlineStr">
        <is>
          <t>Twice The Gold_NonSAP_ INT Rev Dpf1.doc</t>
        </is>
      </c>
      <c r="O236" s="8" t="inlineStr">
        <is>
          <t>'Scatter wins are multiplied by the total credits bet' is the standard credits-&gt;cash conversion for the paytable scatter, not a displayed bet-multiplied prize symbol. Line wins x credits bet per line. Key is a wild-style win multiplier.</t>
        </is>
      </c>
    </row>
    <row r="237">
      <c r="A237" s="7" t="inlineStr">
        <is>
          <t>UltimateLoot_ULC</t>
        </is>
      </c>
      <c r="B237" s="7" t="inlineStr">
        <is>
          <t>unclear</t>
        </is>
      </c>
      <c r="C237" s="7" t="inlineStr">
        <is>
          <t>Credit / Instant Prize symbols (F3 Instant Prize Feature); F1/F2/F3/F4 feeder scatters</t>
        </is>
      </c>
      <c r="D237" s="7" t="inlineStr">
        <is>
          <t>unclear</t>
        </is>
      </c>
      <c r="E237" s="12" t="inlineStr">
        <is>
          <t>VERIFY (ambiguous)</t>
        </is>
      </c>
      <c r="F237" s="8" t="inlineStr"/>
      <c r="G237" s="7" t="inlineStr"/>
      <c r="H237" s="7" t="inlineStr">
        <is>
          <t>Unknown</t>
        </is>
      </c>
      <c r="I237" s="7" t="inlineStr"/>
      <c r="J237" s="8" t="inlineStr">
        <is>
          <t>Feature 3 (Instant Prize Feature): Randomly show credit symbols. Credit values shown in the symbols are awarded as win amount. ... Credit  Instant Prize Symbols (Only appear in F3 feature). Prizes would be presented dynamically.</t>
        </is>
      </c>
      <c r="K237" s="8" t="inlineStr">
        <is>
          <t>Wild Multiplier Feature (F4): SplWdx2/SplWdx3/SplWdx5 wild multipliers 2/3/5</t>
        </is>
      </c>
      <c r="L237" s="8" t="inlineStr">
        <is>
          <t>wild multiplier symbols multiply wins (win-based); exact rule not spelled out in this flow doc</t>
        </is>
      </c>
      <c r="M237" s="7" t="inlineStr">
        <is>
          <t>low</t>
        </is>
      </c>
      <c r="N237" s="7" t="inlineStr">
        <is>
          <t>Mathematical Flow of Ultimate Loot Series.docx</t>
        </is>
      </c>
      <c r="O237" s="8" t="inlineStr">
        <is>
          <t>Source is an abstract Mathematical Flow doc, not a standard rules spec. Instant Prize credit symbols award a displayed value but the doc does not state whether that value is a multiple of total bet or bet per line - base derivation unclear. No paytable/lines/bet config present.</t>
        </is>
      </c>
    </row>
    <row r="238">
      <c r="A238" s="7" t="inlineStr">
        <is>
          <t>UltraShot Tiger</t>
        </is>
      </c>
      <c r="B238" s="7" t="inlineStr">
        <is>
          <t>yes</t>
        </is>
      </c>
      <c r="C238" s="7" t="inlineStr">
        <is>
          <t>'Coin' (Coin Prize); 'Tiger' triggers free games</t>
        </is>
      </c>
      <c r="D238" s="7" t="inlineStr">
        <is>
          <t>total_bet</t>
        </is>
      </c>
      <c r="E238" s="10" t="inlineStr">
        <is>
          <t>TotalBet</t>
        </is>
      </c>
      <c r="F238" s="8" t="inlineStr">
        <is>
          <t>x total bet (base game): Coin Prize 1,2,3,5,10,15,20,50,100,200 x total credits bet</t>
        </is>
      </c>
      <c r="G238" s="7" t="inlineStr">
        <is>
          <t>numLines=20 +Ante 5 (=25) for 1c-10c; 5 lines for $1/$2</t>
        </is>
      </c>
      <c r="H238" s="7" t="inlineStr">
        <is>
          <t>Unknown</t>
        </is>
      </c>
      <c r="I238" s="7" t="inlineStr"/>
      <c r="J238" s="8" t="inlineStr">
        <is>
          <t>'Coin' always appears on screen with a random Coin Prize of 1, 2, 3, 5, 10, 15, 20, 50, 100 or 200 multiplied by total credits bet OR with Mini Bonus, Minor Bonus or Major Jackpot, as displayed during paid games only.</t>
        </is>
      </c>
      <c r="K238" s="8" t="inlineStr">
        <is>
          <t>Ultra Shot Feature Double/Triple levels double/triple the Coin Prize; Major/Grand Jackpots</t>
        </is>
      </c>
      <c r="L238" s="8" t="inlineStr">
        <is>
          <t>feature level doubling/tripling applies to the displayed Coin Prize</t>
        </is>
      </c>
      <c r="M238" s="7" t="inlineStr">
        <is>
          <t>high</t>
        </is>
      </c>
      <c r="N238" s="7" t="inlineStr">
        <is>
          <t>UltraShotTiger_NSW_TechSpec_Cpf1.doc</t>
        </is>
      </c>
      <c r="O238" s="8" t="inlineStr">
        <is>
          <t>TechSpec doc. Base-game Coin Prize is explicitly 'multiplied by total credits bet'. For 1c-10c denoms feature Coin Prizes and line wins are expressed via a 'Bet Multiplier'; for $1/$2 they use total credits bet / credits bet per line. Primary/base-game scatter base = total bet.</t>
        </is>
      </c>
    </row>
    <row r="239">
      <c r="A239" s="7" t="inlineStr">
        <is>
          <t>VegasDelightsRingsOfFortune_LHD</t>
        </is>
      </c>
      <c r="B239" s="7" t="inlineStr">
        <is>
          <t>yes</t>
        </is>
      </c>
      <c r="C239" s="7" t="inlineStr">
        <is>
          <t>'Orange Coin' / 'Gold Coin' (coin symbols in HOLD'nSPIN); 'Gold Coin','Orange Coin','Pink Frame' scatters</t>
        </is>
      </c>
      <c r="D239" s="7" t="inlineStr">
        <is>
          <t>bet_per_line</t>
        </is>
      </c>
      <c r="E239" s="11" t="inlineStr">
        <is>
          <t>LineBetFromStaticMultiplier</t>
        </is>
      </c>
      <c r="F239" s="8" t="inlineStr">
        <is>
          <t>Prize (1,2,3,5,8,12,15,20,25) x 50 x bet per line; equivalent to total_bet*50/75 given static 75</t>
        </is>
      </c>
      <c r="G239" s="7" t="inlineStr">
        <is>
          <t>numLines=50, static=75</t>
        </is>
      </c>
      <c r="H239" s="7" t="inlineStr">
        <is>
          <t>No</t>
        </is>
      </c>
      <c r="I239" s="7" t="inlineStr">
        <is>
          <t>50</t>
        </is>
      </c>
      <c r="J239" s="8" t="inlineStr">
        <is>
          <t>Coin symbols always appear on screen with a random Prize of 1, 2, 3, 5, 8, 12, 15, 20 or 25 multiplied by 50 times of the bet per line value, OR MAXI or MINI, as displayed.</t>
        </is>
      </c>
      <c r="K239" s="8" t="inlineStr">
        <is>
          <t>FrameX2/FrameX3/FrameX5 in RINGS OF FORTUNE HOLD'nSPIN multiply the coin prize x2/x3/x5</t>
        </is>
      </c>
      <c r="L239" s="8" t="inlineStr">
        <is>
          <t>Gold Coin inside FrameX2/X3/X5 multiplies the displayed coin prize by 2/3/5 (prize-based)</t>
        </is>
      </c>
      <c r="M239" s="7" t="inlineStr">
        <is>
          <t>high</t>
        </is>
      </c>
      <c r="N239" s="7" t="inlineStr">
        <is>
          <t>VegasDelightsRingsOfFortune_RevA.doc</t>
        </is>
      </c>
      <c r="O239" s="8" t="inlineStr">
        <is>
          <t>Coin prize explicitly '50 times of the bet per line value' -&gt; bet_per_line. Static multiplier 75 and 50 lines present (bonus prizes quoted at Bet 75c), so effective base equals total_bet*50/75; classified bet_per_line per the explicit wording.</t>
        </is>
      </c>
    </row>
    <row r="240">
      <c r="A240" s="7" t="inlineStr">
        <is>
          <t>VegasFiestaGrand</t>
        </is>
      </c>
      <c r="B240" s="7" t="inlineStr">
        <is>
          <t>yes</t>
        </is>
      </c>
      <c r="C240" s="7" t="inlineStr">
        <is>
          <t>'PPG Chip', 'Chip', 'Double Chip' (Players Paradise Feature mystery prizes)</t>
        </is>
      </c>
      <c r="D240" s="7" t="inlineStr">
        <is>
          <t>unclear</t>
        </is>
      </c>
      <c r="E240" s="12" t="inlineStr">
        <is>
          <t>VERIFY (ambiguous)</t>
        </is>
      </c>
      <c r="F240" s="8" t="inlineStr">
        <is>
          <t>Mystery prize between 30x and 500x 'the bet' (total vs per-line not specified)</t>
        </is>
      </c>
      <c r="G240" s="7" t="inlineStr">
        <is>
          <t>numLines=50</t>
        </is>
      </c>
      <c r="H240" s="7" t="inlineStr">
        <is>
          <t>No</t>
        </is>
      </c>
      <c r="I240" s="7" t="inlineStr">
        <is>
          <t>50</t>
        </is>
      </c>
      <c r="J240" s="8" t="inlineStr">
        <is>
          <t>The maximum Mystery prize awarded from 'PPG Chip' or 'Chip' is 500 times the bet. The minimum Mystery prize awarded from 'PPG Chip' or 'Chip' is 30 times the bet.</t>
        </is>
      </c>
      <c r="K240" s="8" t="inlineStr">
        <is>
          <t>'Double Chip' doubles the displayed prizes on 'Chip'/'PPG Chip'</t>
        </is>
      </c>
      <c r="L240" s="8" t="inlineStr">
        <is>
          <t>Double Chip doubles the displayed chip mystery prizes (prize-based)</t>
        </is>
      </c>
      <c r="M240" s="7" t="inlineStr">
        <is>
          <t>medium</t>
        </is>
      </c>
      <c r="N240" s="7" t="inlineStr">
        <is>
          <t>VegasFiestaGrand_AGT_RGS_RevA.doc</t>
        </is>
      </c>
      <c r="O240" s="8" t="inlineStr">
        <is>
          <t>Chip/PPG Chip award a random Mystery prize described only as 'times the bet' (30x-500x); the rules do not state whether 'the bet' means total bet or bet per line, so base is unclear. Do not guess.</t>
        </is>
      </c>
    </row>
    <row r="241">
      <c r="A241" s="7" t="inlineStr">
        <is>
          <t>Viking Reign</t>
        </is>
      </c>
      <c r="B241" s="7" t="inlineStr">
        <is>
          <t>no</t>
        </is>
      </c>
      <c r="C241" s="7" t="inlineStr"/>
      <c r="D241" s="7" t="inlineStr">
        <is>
          <t>none</t>
        </is>
      </c>
      <c r="E241" s="7" t="inlineStr"/>
      <c r="F241" s="8" t="inlineStr"/>
      <c r="G241" s="7" t="inlineStr"/>
      <c r="H241" s="7" t="inlineStr">
        <is>
          <t>No</t>
        </is>
      </c>
      <c r="I241" s="7" t="inlineStr">
        <is>
          <t>50</t>
        </is>
      </c>
      <c r="J241" s="8" t="inlineStr">
        <is>
          <t>'Jewel' is a scatter. ... 10 free games are triggered by any 3 or more scattered 'Jewel'.</t>
        </is>
      </c>
      <c r="K241" s="8" t="inlineStr">
        <is>
          <t>'Warrior Multiplier' x1/x2 (reel 2) and x1/x5 (reel 4) in Free Games Feature</t>
        </is>
      </c>
      <c r="L241" s="8" t="inlineStr">
        <is>
          <t>if one or more 'Warrior Multiplier' substitutes in a win, the prize for that win is multiplied by every multiplier as displayed (multiplies the line win, win-based)</t>
        </is>
      </c>
      <c r="M241" s="7" t="inlineStr">
        <is>
          <t>high</t>
        </is>
      </c>
      <c r="N241" s="7" t="inlineStr">
        <is>
          <t>USANJ_Viking Reign_AGT_RGS_RevA.doc</t>
        </is>
      </c>
      <c r="O241" s="8" t="inlineStr">
        <is>
          <t>Scatter Jewel triggers free games and pays via paytable; Warrior Multiplier is a wild-style substitute multiplier on wins.</t>
        </is>
      </c>
    </row>
    <row r="242">
      <c r="A242" s="7" t="inlineStr">
        <is>
          <t>WealthAndHappyLife</t>
        </is>
      </c>
      <c r="B242" s="7" t="inlineStr">
        <is>
          <t>yes</t>
        </is>
      </c>
      <c r="C242" s="7" t="inlineStr">
        <is>
          <t>'EMPTY RED PACKET' instant-prize symbols (RED PACKETS FEATURE); 'FU' scatter triggers feature</t>
        </is>
      </c>
      <c r="D242" s="7" t="inlineStr">
        <is>
          <t>static_multiplier</t>
        </is>
      </c>
      <c r="E242" s="11" t="inlineStr">
        <is>
          <t>LineBetFromStaticMultiplier</t>
        </is>
      </c>
      <c r="F242" s="8" t="inlineStr">
        <is>
          <t>Prize (1,2,3,5,8,10,25,50,75) x 50 x bet value; with static 75, numLines=50 -&gt; total_bet*50/75</t>
        </is>
      </c>
      <c r="G242" s="7" t="inlineStr">
        <is>
          <t>numLines=50, static=75</t>
        </is>
      </c>
      <c r="H242" s="7" t="inlineStr">
        <is>
          <t>No</t>
        </is>
      </c>
      <c r="I242" s="7" t="inlineStr">
        <is>
          <t>50</t>
        </is>
      </c>
      <c r="J242" s="8" t="inlineStr">
        <is>
          <t>When lion with 'INSTANT PRIZES' is freed, more 'EMPTY RED PACKET' with random Prize of 1, 2, 3, 5, 8, 10, 25, 50 or 75 multiplied by 50 times of the bet value, will be revealed in the RED PACKETS FEATURE. (with: All available bet options are multiplied by static multiplier '75'.)</t>
        </is>
      </c>
      <c r="K242" s="8" t="inlineStr">
        <is>
          <t>WILDx2 / WILDx3 / WILDx5 RED PACKET symbols in feature</t>
        </is>
      </c>
      <c r="L242" s="8" t="inlineStr">
        <is>
          <t>when a WILDx2/x3/x5 RED PACKET participates in a line win, the winning amount is multiplied by every corresponding multiplier displayed (win-based)</t>
        </is>
      </c>
      <c r="M242" s="7" t="inlineStr">
        <is>
          <t>high</t>
        </is>
      </c>
      <c r="N242" s="7" t="inlineStr">
        <is>
          <t>WealthAndHappyLife_RevA.doc</t>
        </is>
      </c>
      <c r="O242" s="8" t="inlineStr">
        <is>
          <t>Prize stated as '50 times of the bet value' (not per line) combined with static multiplier 75 and 50 lines -&gt; static-multiplier ratio: base = total_bet*50/75.</t>
        </is>
      </c>
    </row>
    <row r="243">
      <c r="A243" s="7" t="inlineStr">
        <is>
          <t>Wild Fire Riches</t>
        </is>
      </c>
      <c r="B243" s="7" t="inlineStr">
        <is>
          <t>no</t>
        </is>
      </c>
      <c r="C243" s="7" t="inlineStr"/>
      <c r="D243" s="7" t="inlineStr">
        <is>
          <t>none</t>
        </is>
      </c>
      <c r="E243" s="7" t="inlineStr"/>
      <c r="F243" s="8" t="inlineStr"/>
      <c r="G243" s="7" t="inlineStr"/>
      <c r="H243" s="7" t="inlineStr">
        <is>
          <t>No</t>
        </is>
      </c>
      <c r="I243" s="7" t="inlineStr">
        <is>
          <t>100</t>
        </is>
      </c>
      <c r="J243" s="8" t="inlineStr">
        <is>
          <t>'Wild Fire Riches' and 'Wild Fire Riches Wild' are scatters. ... 8 free games are triggered by any 3 or more scatters.</t>
        </is>
      </c>
      <c r="K243" s="8" t="inlineStr">
        <is>
          <t>none (Whopper Wild / Mega Whopper Wild transform symbols to wild, no numeric multiplier)</t>
        </is>
      </c>
      <c r="L243" s="8" t="inlineStr"/>
      <c r="M243" s="7" t="inlineStr">
        <is>
          <t>high</t>
        </is>
      </c>
      <c r="N243" s="7" t="inlineStr">
        <is>
          <t>Wild_Fire_Riches_AGT_RGS_Rev G.doc</t>
        </is>
      </c>
      <c r="O243" s="8" t="inlineStr">
        <is>
          <t>Scatters trigger free games and pay via paytable. Whopper/Mega Whopper Wild transform reels to Wild/expanded symbols; no bet-multiplied prize and no explicit numeric multiplier.</t>
        </is>
      </c>
    </row>
    <row r="244">
      <c r="A244" s="7" t="inlineStr">
        <is>
          <t>Wild Nights</t>
        </is>
      </c>
      <c r="B244" s="7" t="inlineStr">
        <is>
          <t>no</t>
        </is>
      </c>
      <c r="C244" s="7" t="inlineStr"/>
      <c r="D244" s="7" t="inlineStr">
        <is>
          <t>none</t>
        </is>
      </c>
      <c r="E244" s="7" t="inlineStr"/>
      <c r="F244" s="8" t="inlineStr"/>
      <c r="G244" s="7" t="inlineStr"/>
      <c r="H244" s="7" t="inlineStr">
        <is>
          <t>No</t>
        </is>
      </c>
      <c r="I244" s="7" t="inlineStr">
        <is>
          <t>25</t>
        </is>
      </c>
      <c r="J244" s="8" t="inlineStr">
        <is>
          <t>'Dollar' is a scatter. ... During paid games, any 3, 4 or 5 scatters trigger 10, 15 or 25 free games respectively.</t>
        </is>
      </c>
      <c r="K244" s="8" t="inlineStr">
        <is>
          <t>none (Crazy Feature awards Grand/Major/Maxi/Minor/Mini bonus prizes)</t>
        </is>
      </c>
      <c r="L244" s="8" t="inlineStr">
        <is>
          <t>Crazy Feature prizes are fixed bonus values as displayed</t>
        </is>
      </c>
      <c r="M244" s="7" t="inlineStr">
        <is>
          <t>high</t>
        </is>
      </c>
      <c r="N244" s="7" t="inlineStr">
        <is>
          <t>WildNights_Agt_Rgs.doc</t>
        </is>
      </c>
      <c r="O244" s="8" t="inlineStr">
        <is>
          <t>Scatter Dollar triggers free games; Crazy Feature awards fixed bonus prizes. No bet-multiplied scatter prize, no wild multiplier.</t>
        </is>
      </c>
    </row>
    <row r="245">
      <c r="A245" s="7" t="inlineStr">
        <is>
          <t>Wild Spirit</t>
        </is>
      </c>
      <c r="B245" s="7" t="inlineStr">
        <is>
          <t>no</t>
        </is>
      </c>
      <c r="C245" s="7" t="inlineStr"/>
      <c r="D245" s="7" t="inlineStr">
        <is>
          <t>none</t>
        </is>
      </c>
      <c r="E245" s="7" t="inlineStr"/>
      <c r="F245" s="8" t="inlineStr"/>
      <c r="G245" s="7" t="inlineStr"/>
      <c r="H245" s="7" t="inlineStr">
        <is>
          <t>No</t>
        </is>
      </c>
      <c r="I245" s="7" t="inlineStr">
        <is>
          <t>100</t>
        </is>
      </c>
      <c r="J245" s="8" t="inlineStr">
        <is>
          <t>'Mountain' is a scatter. ... 8 free games are triggered by any 3 or more scattered 'Mountain'.</t>
        </is>
      </c>
      <c r="K245" s="8" t="inlineStr">
        <is>
          <t>none</t>
        </is>
      </c>
      <c r="L245" s="8" t="inlineStr"/>
      <c r="M245" s="7" t="inlineStr">
        <is>
          <t>high</t>
        </is>
      </c>
      <c r="N245" s="7" t="inlineStr">
        <is>
          <t>Wild Spirit AGT_RGS_Rev B.doc</t>
        </is>
      </c>
      <c r="O245" s="8" t="inlineStr">
        <is>
          <t>Scatter Mountain triggers free games and pays via paytable; Horse is a plain wild substitute. No multipliers of any kind.</t>
        </is>
      </c>
    </row>
    <row r="246">
      <c r="A246" s="7" t="inlineStr">
        <is>
          <t>Wild West Bandits_UMA</t>
        </is>
      </c>
      <c r="B246" s="7" t="inlineStr">
        <is>
          <t>yes</t>
        </is>
      </c>
      <c r="C246" s="7" t="inlineStr">
        <is>
          <t>COPPER/GREEN/BLUE FRAME prize reveals in the Feature Game (Animal Scatter Barrels trigger feature)</t>
        </is>
      </c>
      <c r="D246" s="7" t="inlineStr">
        <is>
          <t>bet_per_line</t>
        </is>
      </c>
      <c r="E246" s="11" t="inlineStr">
        <is>
          <t>LineBetFromStaticMultiplier</t>
        </is>
      </c>
      <c r="F246" s="8" t="inlineStr">
        <is>
          <t>Frame prizes x 10 x bet per line (e.g. COPPER 1-8, GREEN 10-25, BLUE 30-50, each x10 x bet per line)</t>
        </is>
      </c>
      <c r="G246" s="7" t="inlineStr">
        <is>
          <t>numLines=20, Total Bet=20</t>
        </is>
      </c>
      <c r="H246" s="7" t="inlineStr">
        <is>
          <t>No</t>
        </is>
      </c>
      <c r="I246" s="7" t="inlineStr">
        <is>
          <t>20</t>
        </is>
      </c>
      <c r="J246" s="8" t="inlineStr">
        <is>
          <t>At the end of the feature, COPPER FRAME randomly reveals prizes of 1, 2, 3, 4, 5, 6, or 8 multiplied by 10 times of the bet per line value.</t>
        </is>
      </c>
      <c r="K246" s="8" t="inlineStr">
        <is>
          <t>Animal Scatter barrels split into more scatters; +1 BONUS GAME scatter in feature</t>
        </is>
      </c>
      <c r="L246" s="8" t="inlineStr"/>
      <c r="M246" s="7" t="inlineStr">
        <is>
          <t>high</t>
        </is>
      </c>
      <c r="N246" s="7" t="inlineStr">
        <is>
          <t>Wild West Bandits_RevA.doc</t>
        </is>
      </c>
      <c r="O246" s="8" t="inlineStr">
        <is>
          <t>Frame prizes revealed at end of feature are explicitly '10 times of the bet per line value' -&gt; bet_per_line. No static multiplier in this game (20 lines / total bet 20).</t>
        </is>
      </c>
    </row>
    <row r="247">
      <c r="A247" s="7" t="inlineStr">
        <is>
          <t>Wings Of Fire</t>
        </is>
      </c>
      <c r="B247" s="7" t="inlineStr">
        <is>
          <t>no</t>
        </is>
      </c>
      <c r="C247" s="7" t="inlineStr"/>
      <c r="D247" s="7" t="inlineStr">
        <is>
          <t>none</t>
        </is>
      </c>
      <c r="E247" s="7" t="inlineStr"/>
      <c r="F247" s="8" t="inlineStr"/>
      <c r="G247" s="7" t="inlineStr"/>
      <c r="H247" s="7" t="inlineStr">
        <is>
          <t>No</t>
        </is>
      </c>
      <c r="I247" s="7" t="inlineStr">
        <is>
          <t>20</t>
        </is>
      </c>
      <c r="J247" s="8" t="inlineStr">
        <is>
          <t>'Calendar' is a scatter. ... 10 free games are triggered by any 3 or more scattered 'Calendar'.</t>
        </is>
      </c>
      <c r="K247" s="8" t="inlineStr">
        <is>
          <t>Super/Ultimate Choice Feature options: if a 'Gold Star' substitutes in a win the pay is doubled (x2) or tripled (x3)</t>
        </is>
      </c>
      <c r="L247" s="8" t="inlineStr">
        <is>
          <t>Gold Star wild-substitute multiplier doubles/triples the line win (win-based); Wings of Fire transforms symbols to Wild</t>
        </is>
      </c>
      <c r="M247" s="7" t="inlineStr">
        <is>
          <t>high</t>
        </is>
      </c>
      <c r="N247" s="7" t="inlineStr">
        <is>
          <t>Wings_Of_Fire_AGT_RGS_Rev_A.doc</t>
        </is>
      </c>
      <c r="O247" s="8" t="inlineStr">
        <is>
          <t>Scatter Calendar triggers free games; Silver/Gold Star trigger choice features. The x2/x3 in choice options are Gold Star wild-substitute win multipliers. No bet-multiplied scatter prize.</t>
        </is>
      </c>
    </row>
    <row r="248">
      <c r="A248" s="7" t="inlineStr">
        <is>
          <t>Winning Wolf</t>
        </is>
      </c>
      <c r="B248" s="7" t="inlineStr">
        <is>
          <t>no</t>
        </is>
      </c>
      <c r="C248" s="7" t="inlineStr"/>
      <c r="D248" s="7" t="inlineStr">
        <is>
          <t>none</t>
        </is>
      </c>
      <c r="E248" s="7" t="inlineStr"/>
      <c r="F248" s="8" t="inlineStr"/>
      <c r="G248" s="7" t="inlineStr"/>
      <c r="H248" s="7" t="inlineStr">
        <is>
          <t>No</t>
        </is>
      </c>
      <c r="I248" s="7" t="inlineStr">
        <is>
          <t>100</t>
        </is>
      </c>
      <c r="J248" s="8" t="inlineStr">
        <is>
          <t>'Mountain' is a scatter. ... 8 free games are triggered by any 3 or more scattered 'Mountain'.</t>
        </is>
      </c>
      <c r="K248" s="8" t="inlineStr">
        <is>
          <t>none</t>
        </is>
      </c>
      <c r="L248" s="8" t="inlineStr"/>
      <c r="M248" s="7" t="inlineStr">
        <is>
          <t>high</t>
        </is>
      </c>
      <c r="N248" s="7" t="inlineStr">
        <is>
          <t>Winning Wolf AGT_RGS_Rev C pf1.doc</t>
        </is>
      </c>
      <c r="O248" s="8" t="inlineStr">
        <is>
          <t>Same structure as Wild Spirit (Wolf theme). Scatter Mountain triggers free games; Wolf is a plain wild substitute. No multipliers.</t>
        </is>
      </c>
    </row>
    <row r="249">
      <c r="A249" s="7" t="inlineStr">
        <is>
          <t>Wizards Wand (MoneyUp)</t>
        </is>
      </c>
      <c r="B249" s="7" t="inlineStr">
        <is>
          <t>yes</t>
        </is>
      </c>
      <c r="C249" s="7" t="inlineStr">
        <is>
          <t>Ladder Prizes (Money Up Feature); Arrow X1/X2/X3 trigger the feature</t>
        </is>
      </c>
      <c r="D249" s="7" t="inlineStr">
        <is>
          <t>total_bet</t>
        </is>
      </c>
      <c r="E249" s="10" t="inlineStr">
        <is>
          <t>TotalBet</t>
        </is>
      </c>
      <c r="F249" s="8" t="inlineStr">
        <is>
          <t>Ladder Prizes 1,2,3,4,5,10,15 x total bet, then multiplied by sum of Arrow X1/X2/X3 on the reel</t>
        </is>
      </c>
      <c r="G249" s="7" t="inlineStr"/>
      <c r="H249" s="7" t="inlineStr">
        <is>
          <t>No</t>
        </is>
      </c>
      <c r="I249" s="7" t="inlineStr">
        <is>
          <t>25</t>
        </is>
      </c>
      <c r="J249" s="8" t="inlineStr">
        <is>
          <t>The initial Ladder Prizes on the top of each reel are 1, 2, 3, 4, 5, 10 and 15 multiplied by the total bet. The Ladder Prizes are then multiplied by the sum of the Arrow X1, Arrow X2 and Arrow X3 from the corresponding reel.</t>
        </is>
      </c>
      <c r="K249" s="8" t="inlineStr">
        <is>
          <t>Arrow X1/X2/X3 values sum to multiply the ladder prize; Wild substitute</t>
        </is>
      </c>
      <c r="L249" s="8" t="inlineStr">
        <is>
          <t>sum of Arrow X1/X2/X3 on a reel multiplies that reel's ladder prize (prize-based)</t>
        </is>
      </c>
      <c r="M249" s="7" t="inlineStr">
        <is>
          <t>high</t>
        </is>
      </c>
      <c r="N249" s="7" t="inlineStr">
        <is>
          <t>Wizards Wand_AGT_RGS_RevA.docx</t>
        </is>
      </c>
      <c r="O249" s="8" t="inlineStr">
        <is>
          <t>Hold-and-spin style Money Up feature. Ladder prize base is explicitly 'multiplied by the total bet', then scaled by arrow sums -&gt; total_bet.</t>
        </is>
      </c>
    </row>
    <row r="250">
      <c r="A250" s="7" t="inlineStr">
        <is>
          <t>ZhongKui</t>
        </is>
      </c>
      <c r="B250" s="7" t="inlineStr">
        <is>
          <t>no</t>
        </is>
      </c>
      <c r="C250" s="7" t="inlineStr"/>
      <c r="D250" s="7" t="inlineStr">
        <is>
          <t>none</t>
        </is>
      </c>
      <c r="E250" s="7" t="inlineStr"/>
      <c r="F250" s="8" t="inlineStr"/>
      <c r="G250" s="7" t="inlineStr">
        <is>
          <t>numLines=20</t>
        </is>
      </c>
      <c r="H250" s="7" t="inlineStr">
        <is>
          <t>No</t>
        </is>
      </c>
      <c r="I250" s="7" t="inlineStr">
        <is>
          <t>20</t>
        </is>
      </c>
      <c r="J250" s="8" t="inlineStr">
        <is>
          <t>The 'BaGua', 'Ghost' and 'Zhong Kui' are scatter symbols and appear during paid games only. ... if three or more 'BaGua' portal symbols appear, a portal is opened ... 'Zhong Kui Feature' which awards 8 free spins.</t>
        </is>
      </c>
      <c r="K250" s="8" t="inlineStr">
        <is>
          <t>none (Zhong Kui banishing Ghost rewards MINI/MINOR/MAXI/MAJOR bonus as displayed)</t>
        </is>
      </c>
      <c r="L250" s="8" t="inlineStr">
        <is>
          <t>bounties (Mini/Minor/Maxi/Major) are fixed bonus values as displayed</t>
        </is>
      </c>
      <c r="M250" s="7" t="inlineStr">
        <is>
          <t>high</t>
        </is>
      </c>
      <c r="N250" s="7" t="inlineStr">
        <is>
          <t>ZhongKui_AGT_RGS_RevA.doc</t>
        </is>
      </c>
      <c r="O250" s="8" t="inlineStr">
        <is>
          <t>Scatters trigger free games / small bounty feature paying fixed bonuses. A 'Mystery Scatter' symbol appears in the paytable list but no rule ties it to a bet-multiplied prize. No scatter multiplier.</t>
        </is>
      </c>
    </row>
    <row r="251">
      <c r="A251" s="7" t="inlineStr">
        <is>
          <t>Zulu Treasure</t>
        </is>
      </c>
      <c r="B251" s="7" t="inlineStr">
        <is>
          <t>no</t>
        </is>
      </c>
      <c r="C251" s="7" t="inlineStr"/>
      <c r="D251" s="7" t="inlineStr">
        <is>
          <t>none</t>
        </is>
      </c>
      <c r="E251" s="7" t="inlineStr"/>
      <c r="F251" s="8" t="inlineStr"/>
      <c r="G251" s="7" t="inlineStr"/>
      <c r="H251" s="7" t="inlineStr">
        <is>
          <t>No</t>
        </is>
      </c>
      <c r="I251" s="7" t="inlineStr">
        <is>
          <t>50</t>
        </is>
      </c>
      <c r="J251" s="8" t="inlineStr">
        <is>
          <t>'Zulu Treasure' is a scatter. ... 10 free games are triggered by any 3 or more scattered 'Zulu Treasure'.</t>
        </is>
      </c>
      <c r="K251" s="8" t="inlineStr">
        <is>
          <t>none (Quad Shot Bonus awards Major/Minor bonus; Treasure Pot transforms symbols to Lion Mask)</t>
        </is>
      </c>
      <c r="L251" s="8" t="inlineStr">
        <is>
          <t>Quad Shot bonuses are fixed values; Treasure Pot is a symbol transformation not a numeric multiplier</t>
        </is>
      </c>
      <c r="M251" s="7" t="inlineStr">
        <is>
          <t>high</t>
        </is>
      </c>
      <c r="N251" s="7" t="inlineStr">
        <is>
          <t>Zulu Treasure_AGT_RGS_RevB.docx</t>
        </is>
      </c>
      <c r="O251" s="8" t="inlineStr">
        <is>
          <t>Scatter triggers free games / Treasure Hunt; Quad Shot awards fixed Major/Minor bonuses. No bet-multiplied scatter prize and no numeric win multiplier.</t>
        </is>
      </c>
    </row>
    <row r="252">
      <c r="A252" s="7" t="inlineStr">
        <is>
          <t>super charged 7s classic</t>
        </is>
      </c>
      <c r="B252" s="7" t="inlineStr">
        <is>
          <t>no</t>
        </is>
      </c>
      <c r="C252" s="7" t="inlineStr"/>
      <c r="D252" s="7" t="inlineStr">
        <is>
          <t>none</t>
        </is>
      </c>
      <c r="E252" s="7" t="inlineStr"/>
      <c r="F252" s="8" t="inlineStr"/>
      <c r="G252" s="7" t="inlineStr"/>
      <c r="H252" s="7" t="inlineStr">
        <is>
          <t>No</t>
        </is>
      </c>
      <c r="I252" s="7" t="inlineStr">
        <is>
          <t>9</t>
        </is>
      </c>
      <c r="J252" s="8" t="inlineStr">
        <is>
          <t>When 1 'Super Charged' is substituted for a win, the win amount is multiplied by 2. when 2 'Super Charged' are substituted for a win, the win amount is multiplied by 4. The winning line with 'Wheel' multiplies the winning amount as shown in the Multiplier Table.</t>
        </is>
      </c>
      <c r="K252" s="8" t="inlineStr">
        <is>
          <t>'Super Charged' wild multiplier x2 (1 wild) / x4 (2 wilds); 'Wheel'/'Wheel X2-X5' line multiplier per Multiplier Table</t>
        </is>
      </c>
      <c r="L252" s="8" t="inlineStr">
        <is>
          <t>both multiply the winning line amount (win-based)</t>
        </is>
      </c>
      <c r="M252" s="7" t="inlineStr">
        <is>
          <t>high</t>
        </is>
      </c>
      <c r="N252" s="7" t="inlineStr">
        <is>
          <t>SuperCharged7sClassic_AGT_RGS_RevB.doc</t>
        </is>
      </c>
      <c r="O252" s="8" t="inlineStr">
        <is>
          <t>No scatter section populated. Super Charged is a wild win-multiplier; Wheel symbols apply a line-win multiplier per table. No bet-multiplied scatter prize.</t>
        </is>
      </c>
    </row>
    <row r="253">
      <c r="A253" s="7" t="inlineStr">
        <is>
          <t>Electric Nights</t>
        </is>
      </c>
      <c r="B253" s="7" t="inlineStr">
        <is>
          <t>no</t>
        </is>
      </c>
      <c r="C253" s="7" t="inlineStr"/>
      <c r="D253" s="7" t="inlineStr">
        <is>
          <t>none</t>
        </is>
      </c>
      <c r="E253" s="7" t="inlineStr"/>
      <c r="F253" s="8" t="inlineStr"/>
      <c r="G253" s="7" t="inlineStr"/>
      <c r="H253" s="7" t="inlineStr">
        <is>
          <t>Unknown</t>
        </is>
      </c>
      <c r="I253" s="7" t="inlineStr"/>
      <c r="J253" s="8" t="inlineStr">
        <is>
          <t>'Electric Nights' is a scatter. 10, 15 or 25 free games are triggered by any 3, 4 or 5 scattered 'Electric Nights' respectively.</t>
        </is>
      </c>
      <c r="K253" s="8" t="inlineStr">
        <is>
          <t>none (King Strike Major/Maxi/Minor/Mini bonuses are fixed bonus values)</t>
        </is>
      </c>
      <c r="L253" s="8" t="inlineStr"/>
      <c r="M253" s="7" t="inlineStr">
        <is>
          <t>high</t>
        </is>
      </c>
      <c r="N253" s="7" t="inlineStr">
        <is>
          <t>Electric Nights_AGT_RGS_Rev D pf 1.doc</t>
        </is>
      </c>
      <c r="O253" s="8" t="inlineStr">
        <is>
          <t>Scatter only triggers free games and pays via paytable; no displayed bet-multiplied prize. King Strike awards fixed bonus values.</t>
        </is>
      </c>
    </row>
    <row r="254">
      <c r="A254" s="7" t="inlineStr">
        <is>
          <t>TripleShot WinningGoal</t>
        </is>
      </c>
      <c r="B254" s="7" t="inlineStr">
        <is>
          <t>no</t>
        </is>
      </c>
      <c r="C254" s="7" t="inlineStr"/>
      <c r="D254" s="7" t="inlineStr">
        <is>
          <t>none</t>
        </is>
      </c>
      <c r="E254" s="7" t="inlineStr"/>
      <c r="F254" s="8" t="inlineStr"/>
      <c r="G254" s="7" t="inlineStr">
        <is>
          <t>numLines=50, static=75</t>
        </is>
      </c>
      <c r="H254" s="7" t="inlineStr">
        <is>
          <t>Unknown</t>
        </is>
      </c>
      <c r="I254" s="7" t="inlineStr"/>
      <c r="J254" s="8" t="inlineStr">
        <is>
          <t>All available bet options are multiplied by static multiplier '75'. [Sticky Wild Games Coin][Bonus Prize Games Coin][Extra Spins Games Coin][+1 Extra Game] are scatters. Any combination of 1 or more ... may randomly trigger 8 Free Games.</t>
        </is>
      </c>
      <c r="K254" s="8" t="inlineStr">
        <is>
          <t>none (Coin scatters trigger Sticky Wild / Bonus Prize / Extra Spins features; Bonus Prize collect-to-win pays fixed bonus table)</t>
        </is>
      </c>
      <c r="L254" s="8" t="inlineStr">
        <is>
          <t>bonus prizes are fixed table values (Grand 500, Major 200, Maxi 15, Minor 8, Mini 3 at bet 1c)</t>
        </is>
      </c>
      <c r="M254" s="7" t="inlineStr">
        <is>
          <t>high</t>
        </is>
      </c>
      <c r="N254" s="7" t="inlineStr">
        <is>
          <t>TripleShot WinningGoal.docx</t>
        </is>
      </c>
      <c r="O254" s="8" t="inlineStr">
        <is>
          <t>Static multiplier 75 and 50 lines are bet-config only; scatters (Coins) merely trigger features and collect features pay a fixed bonus table, no scatter symbol displays a bet-multiplied prize. No scatter multiplier.</t>
        </is>
      </c>
    </row>
  </sheetData>
  <autoFilter ref="A1:O2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2026-09-03T00:48:42Z</dcterms:created>
  <dcterms:modified xmlns:dcterms="http://purl.org/dc/terms/" xmlns:xsi="http://www.w3.org/2001/XMLSchema-instance" xsi:type="dcterms:W3CDTF">2026-09-03T00:52:28Z</dcterms:modified>
</cp:coreProperties>
</file>